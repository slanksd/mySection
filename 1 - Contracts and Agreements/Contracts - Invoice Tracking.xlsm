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O3cf8WGE4kuEAgxBvb8VJsjS2J1n1PVxLk+7hI5jjnlOYkBOffObxIa+ldKEEu22VrEDMji6UpzvC7AHKS5UNw==" workbookSaltValue="Pwk2Ve3GJlTGqg1H0jwrMA==" workbookSpinCount="100000" lockStructure="1"/>
  <bookViews>
    <workbookView xWindow="240" yWindow="105" windowWidth="14805" windowHeight="8010" activeTab="1"/>
  </bookViews>
  <sheets>
    <sheet name="Menu" sheetId="1" r:id="rId1"/>
    <sheet name="Status" sheetId="14" r:id="rId2"/>
  </sheets>
  <calcPr calcId="152511"/>
</workbook>
</file>

<file path=xl/calcChain.xml><?xml version="1.0" encoding="utf-8"?>
<calcChain xmlns="http://schemas.openxmlformats.org/spreadsheetml/2006/main">
  <c r="F15" i="14" l="1"/>
  <c r="D15" i="14"/>
  <c r="C15" i="14"/>
  <c r="B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F6" i="14"/>
  <c r="E6" i="14"/>
  <c r="F5" i="14"/>
  <c r="E5" i="14"/>
  <c r="F4" i="14"/>
  <c r="E4" i="14"/>
  <c r="F3" i="14"/>
  <c r="E3" i="14"/>
  <c r="E15" i="14" s="1"/>
</calcChain>
</file>

<file path=xl/sharedStrings.xml><?xml version="1.0" encoding="utf-8"?>
<sst xmlns="http://schemas.openxmlformats.org/spreadsheetml/2006/main" count="23" uniqueCount="12">
  <si>
    <t>Programmatic Water Transmission Pipeline Condition Assessment</t>
  </si>
  <si>
    <t>Three Water Transmission Pipelines Condition Assessment</t>
  </si>
  <si>
    <t>Total</t>
  </si>
  <si>
    <t>Remaining</t>
  </si>
  <si>
    <t>Expended</t>
  </si>
  <si>
    <t>No.</t>
  </si>
  <si>
    <t>Original Authorized</t>
  </si>
  <si>
    <t>Reassigned</t>
  </si>
  <si>
    <t>Current Authorized</t>
  </si>
  <si>
    <t>Status</t>
  </si>
  <si>
    <t>Open</t>
  </si>
  <si>
    <t>H146197 Additional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</si>
</sst>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 style="thin">
        <color rgb="FF808080"/>
      </left>
      <right style="thin">
        <color theme="0" tint="-0.14996795556505021"/>
      </right>
      <top style="thin">
        <color rgb="FF80808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80808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80808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rgb="FF808080"/>
      </right>
      <top style="thin">
        <color rgb="FF808080"/>
      </top>
      <bottom style="thin">
        <color theme="0" tint="-0.14996795556505021"/>
      </bottom>
      <diagonal/>
    </border>
    <border>
      <left style="thin">
        <color rgb="FF808080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rgb="FF808080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808080"/>
      </left>
      <right style="thin">
        <color theme="0" tint="-0.14996795556505021"/>
      </right>
      <top style="thin">
        <color rgb="FF808080"/>
      </top>
      <bottom style="thin">
        <color rgb="FF80808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808080"/>
      </top>
      <bottom style="thin">
        <color rgb="FF808080"/>
      </bottom>
      <diagonal/>
    </border>
    <border>
      <left style="thin">
        <color theme="0" tint="-0.1499679555650502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rgb="FF808080"/>
      </right>
      <top style="thin">
        <color theme="0" tint="-0.149967955565050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0" fontId="3" fillId="0" borderId="4" xfId="0" applyFont="1" applyBorder="1" applyAlignment="1">
      <alignment vertical="top"/>
    </xf>
    <xf numFmtId="0" fontId="0" fillId="0" borderId="0" xfId="0" applyAlignment="1">
      <alignment vertical="top"/>
    </xf>
    <xf numFmtId="0" fontId="4" fillId="0" borderId="1" xfId="0" applyFont="1" applyBorder="1" applyAlignment="1">
      <alignment horizontal="right" vertical="center"/>
    </xf>
    <xf numFmtId="44" fontId="4" fillId="0" borderId="3" xfId="1" applyFont="1" applyBorder="1" applyAlignment="1">
      <alignment horizontal="right"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horizontal="right" vertical="center"/>
    </xf>
    <xf numFmtId="44" fontId="4" fillId="0" borderId="6" xfId="1" applyFont="1" applyBorder="1" applyAlignment="1">
      <alignment horizontal="right" vertical="center"/>
    </xf>
    <xf numFmtId="0" fontId="4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44" fontId="4" fillId="0" borderId="9" xfId="1" applyFont="1" applyBorder="1" applyAlignment="1">
      <alignment horizontal="right" vertical="center"/>
    </xf>
    <xf numFmtId="0" fontId="4" fillId="2" borderId="10" xfId="0" applyFont="1" applyFill="1" applyBorder="1" applyAlignment="1">
      <alignment vertical="center"/>
    </xf>
    <xf numFmtId="44" fontId="4" fillId="0" borderId="11" xfId="1" applyFont="1" applyBorder="1" applyAlignment="1">
      <alignment horizontal="right" vertical="center"/>
    </xf>
    <xf numFmtId="0" fontId="4" fillId="0" borderId="12" xfId="0" applyFont="1" applyBorder="1" applyAlignment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025" name="H146197Statu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4</xdr:row>
          <xdr:rowOff>0</xdr:rowOff>
        </xdr:from>
        <xdr:to>
          <xdr:col>25</xdr:col>
          <xdr:colOff>152400</xdr:colOff>
          <xdr:row>6</xdr:row>
          <xdr:rowOff>0</xdr:rowOff>
        </xdr:to>
        <xdr:sp macro="" textlink="">
          <xdr:nvSpPr>
            <xdr:cNvPr id="1026" name="H135835Statu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7" name="H146197AddServic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4</xdr:row>
          <xdr:rowOff>0</xdr:rowOff>
        </xdr:from>
        <xdr:to>
          <xdr:col>32</xdr:col>
          <xdr:colOff>0</xdr:colOff>
          <xdr:row>6</xdr:row>
          <xdr:rowOff>0</xdr:rowOff>
        </xdr:to>
        <xdr:sp macro="" textlink="">
          <xdr:nvSpPr>
            <xdr:cNvPr id="1028" name="H135835AddService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B5"/>
  <sheetViews>
    <sheetView showGridLines="0" workbookViewId="0">
      <selection activeCell="AF19" sqref="AF19"/>
    </sheetView>
  </sheetViews>
  <sheetFormatPr defaultColWidth="2.85546875" defaultRowHeight="15" x14ac:dyDescent="0.25"/>
  <sheetData>
    <row r="2" spans="2:2" x14ac:dyDescent="0.25">
      <c r="B2" t="s">
        <v>0</v>
      </c>
    </row>
    <row r="5" spans="2:2" x14ac:dyDescent="0.25">
      <c r="B5" t="s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H146197Status">
          <controlPr defaultSize="0" autoLine="0" autoPict="0" r:id="rId5">
            <anchor moveWithCells="1">
              <from>
                <xdr:col>22</xdr:col>
                <xdr:colOff>0</xdr:colOff>
                <xdr:row>1</xdr:row>
                <xdr:rowOff>0</xdr:rowOff>
              </from>
              <to>
                <xdr:col>26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H146197Status"/>
      </mc:Fallback>
    </mc:AlternateContent>
    <mc:AlternateContent xmlns:mc="http://schemas.openxmlformats.org/markup-compatibility/2006">
      <mc:Choice Requires="x14">
        <control shapeId="1026" r:id="rId6" name="H135835Status">
          <controlPr defaultSize="0" autoLine="0" r:id="rId7">
            <anchor moveWithCells="1">
              <from>
                <xdr:col>21</xdr:col>
                <xdr:colOff>152400</xdr:colOff>
                <xdr:row>4</xdr:row>
                <xdr:rowOff>0</xdr:rowOff>
              </from>
              <to>
                <xdr:col>25</xdr:col>
                <xdr:colOff>152400</xdr:colOff>
                <xdr:row>6</xdr:row>
                <xdr:rowOff>0</xdr:rowOff>
              </to>
            </anchor>
          </controlPr>
        </control>
      </mc:Choice>
      <mc:Fallback>
        <control shapeId="1026" r:id="rId6" name="H135835Status"/>
      </mc:Fallback>
    </mc:AlternateContent>
    <mc:AlternateContent xmlns:mc="http://schemas.openxmlformats.org/markup-compatibility/2006">
      <mc:Choice Requires="x14">
        <control shapeId="1027" r:id="rId8" name="H146197AddServices">
          <controlPr defaultSize="0" autoLine="0" autoPict="0" r:id="rId9">
            <anchor moveWithCells="1">
              <from>
                <xdr:col>27</xdr:col>
                <xdr:colOff>19050</xdr:colOff>
                <xdr:row>1</xdr:row>
                <xdr:rowOff>0</xdr:rowOff>
              </from>
              <to>
                <xdr:col>32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7" r:id="rId8" name="H146197AddServices"/>
      </mc:Fallback>
    </mc:AlternateContent>
    <mc:AlternateContent xmlns:mc="http://schemas.openxmlformats.org/markup-compatibility/2006">
      <mc:Choice Requires="x14">
        <control shapeId="1028" r:id="rId10" name="H135835AddServices">
          <controlPr defaultSize="0" autoLine="0" r:id="rId11">
            <anchor moveWithCells="1">
              <from>
                <xdr:col>27</xdr:col>
                <xdr:colOff>19050</xdr:colOff>
                <xdr:row>4</xdr:row>
                <xdr:rowOff>0</xdr:rowOff>
              </from>
              <to>
                <xdr:col>32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8" r:id="rId10" name="H135835AddServic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G15"/>
  <sheetViews>
    <sheetView showGridLines="0" tabSelected="1" workbookViewId="0">
      <selection activeCell="E6" sqref="E6"/>
    </sheetView>
  </sheetViews>
  <sheetFormatPr defaultRowHeight="15" x14ac:dyDescent="0.25"/>
  <cols>
    <col min="1" max="1" width="5.42578125" bestFit="1" customWidth="1"/>
    <col min="2" max="3" width="12.5703125" bestFit="1" customWidth="1"/>
    <col min="4" max="5" width="11.5703125" bestFit="1" customWidth="1"/>
    <col min="6" max="6" width="12.5703125" bestFit="1" customWidth="1"/>
    <col min="7" max="7" width="7" bestFit="1" customWidth="1"/>
  </cols>
  <sheetData>
    <row r="1" spans="1:7" x14ac:dyDescent="0.25">
      <c r="A1" s="1" t="s">
        <v>11</v>
      </c>
    </row>
    <row r="2" spans="1:7" s="6" customFormat="1" ht="30" x14ac:dyDescent="0.25">
      <c r="A2" s="2" t="s">
        <v>5</v>
      </c>
      <c r="B2" s="3" t="s">
        <v>6</v>
      </c>
      <c r="C2" s="4" t="s">
        <v>4</v>
      </c>
      <c r="D2" s="4" t="s">
        <v>7</v>
      </c>
      <c r="E2" s="4" t="s">
        <v>3</v>
      </c>
      <c r="F2" s="3" t="s">
        <v>8</v>
      </c>
      <c r="G2" s="5" t="s">
        <v>9</v>
      </c>
    </row>
    <row r="3" spans="1:7" x14ac:dyDescent="0.25">
      <c r="A3" s="7">
        <v>1</v>
      </c>
      <c r="B3" s="8">
        <v>6000</v>
      </c>
      <c r="C3" s="8">
        <v>1400</v>
      </c>
      <c r="D3" s="8">
        <v>0</v>
      </c>
      <c r="E3" s="8">
        <f>B3-C3-D3</f>
        <v>4600</v>
      </c>
      <c r="F3" s="8">
        <f>B3-D3</f>
        <v>6000</v>
      </c>
      <c r="G3" s="9" t="s">
        <v>10</v>
      </c>
    </row>
    <row r="4" spans="1:7" x14ac:dyDescent="0.25">
      <c r="A4" s="10">
        <v>2</v>
      </c>
      <c r="B4" s="11">
        <v>22564</v>
      </c>
      <c r="C4" s="11">
        <v>22517</v>
      </c>
      <c r="D4" s="11">
        <v>0</v>
      </c>
      <c r="E4" s="11">
        <f t="shared" ref="E4:E14" si="0">B4-C4-D4</f>
        <v>47</v>
      </c>
      <c r="F4" s="11">
        <f t="shared" ref="F4:F14" si="1">B4-D4</f>
        <v>22564</v>
      </c>
      <c r="G4" s="12" t="s">
        <v>10</v>
      </c>
    </row>
    <row r="5" spans="1:7" x14ac:dyDescent="0.25">
      <c r="A5" s="10">
        <v>3</v>
      </c>
      <c r="B5" s="11">
        <v>45194</v>
      </c>
      <c r="C5" s="11">
        <v>45091</v>
      </c>
      <c r="D5" s="11">
        <v>0</v>
      </c>
      <c r="E5" s="11">
        <f t="shared" si="0"/>
        <v>103</v>
      </c>
      <c r="F5" s="11">
        <f t="shared" si="1"/>
        <v>45194</v>
      </c>
      <c r="G5" s="12" t="s">
        <v>10</v>
      </c>
    </row>
    <row r="6" spans="1:7" x14ac:dyDescent="0.25">
      <c r="A6" s="10">
        <v>4</v>
      </c>
      <c r="B6" s="11">
        <v>118776</v>
      </c>
      <c r="C6" s="11">
        <v>76821</v>
      </c>
      <c r="D6" s="11">
        <v>0</v>
      </c>
      <c r="E6" s="11">
        <f t="shared" si="0"/>
        <v>41955</v>
      </c>
      <c r="F6" s="11">
        <f t="shared" si="1"/>
        <v>118776</v>
      </c>
      <c r="G6" s="12" t="s">
        <v>10</v>
      </c>
    </row>
    <row r="7" spans="1:7" x14ac:dyDescent="0.25">
      <c r="A7" s="10">
        <v>5</v>
      </c>
      <c r="B7" s="11">
        <v>25748</v>
      </c>
      <c r="C7" s="11">
        <v>25656</v>
      </c>
      <c r="D7" s="11">
        <v>0</v>
      </c>
      <c r="E7" s="11">
        <f t="shared" si="0"/>
        <v>92</v>
      </c>
      <c r="F7" s="11">
        <f t="shared" si="1"/>
        <v>25748</v>
      </c>
      <c r="G7" s="12" t="s">
        <v>10</v>
      </c>
    </row>
    <row r="8" spans="1:7" x14ac:dyDescent="0.25">
      <c r="A8" s="10">
        <v>6</v>
      </c>
      <c r="B8" s="11">
        <v>27436</v>
      </c>
      <c r="C8" s="11">
        <v>27393</v>
      </c>
      <c r="D8" s="11">
        <v>0</v>
      </c>
      <c r="E8" s="11">
        <f t="shared" si="0"/>
        <v>43</v>
      </c>
      <c r="F8" s="11">
        <f t="shared" si="1"/>
        <v>27436</v>
      </c>
      <c r="G8" s="12" t="s">
        <v>10</v>
      </c>
    </row>
    <row r="9" spans="1:7" x14ac:dyDescent="0.25">
      <c r="A9" s="10">
        <v>7</v>
      </c>
      <c r="B9" s="11">
        <v>1286</v>
      </c>
      <c r="C9" s="11">
        <v>1286</v>
      </c>
      <c r="D9" s="11">
        <v>0</v>
      </c>
      <c r="E9" s="11">
        <f t="shared" si="0"/>
        <v>0</v>
      </c>
      <c r="F9" s="11">
        <f t="shared" si="1"/>
        <v>1286</v>
      </c>
      <c r="G9" s="12" t="s">
        <v>10</v>
      </c>
    </row>
    <row r="10" spans="1:7" x14ac:dyDescent="0.25">
      <c r="A10" s="10">
        <v>8</v>
      </c>
      <c r="B10" s="11">
        <v>29730</v>
      </c>
      <c r="C10" s="11">
        <v>29634</v>
      </c>
      <c r="D10" s="11">
        <v>0</v>
      </c>
      <c r="E10" s="11">
        <f t="shared" si="0"/>
        <v>96</v>
      </c>
      <c r="F10" s="11">
        <f t="shared" si="1"/>
        <v>29730</v>
      </c>
      <c r="G10" s="12" t="s">
        <v>10</v>
      </c>
    </row>
    <row r="11" spans="1:7" x14ac:dyDescent="0.25">
      <c r="A11" s="10">
        <v>9</v>
      </c>
      <c r="B11" s="16">
        <v>7422</v>
      </c>
      <c r="C11" s="16">
        <v>980</v>
      </c>
      <c r="D11" s="16">
        <v>0</v>
      </c>
      <c r="E11" s="16">
        <f t="shared" si="0"/>
        <v>6442</v>
      </c>
      <c r="F11" s="16">
        <f t="shared" si="1"/>
        <v>7422</v>
      </c>
      <c r="G11" s="17" t="s">
        <v>10</v>
      </c>
    </row>
    <row r="12" spans="1:7" x14ac:dyDescent="0.25">
      <c r="A12" s="10">
        <v>10</v>
      </c>
      <c r="B12" s="16">
        <v>45065</v>
      </c>
      <c r="C12" s="16">
        <v>44861</v>
      </c>
      <c r="D12" s="16">
        <v>0</v>
      </c>
      <c r="E12" s="16">
        <f t="shared" si="0"/>
        <v>204</v>
      </c>
      <c r="F12" s="16">
        <f t="shared" si="1"/>
        <v>45065</v>
      </c>
      <c r="G12" s="17" t="s">
        <v>10</v>
      </c>
    </row>
    <row r="13" spans="1:7" x14ac:dyDescent="0.25">
      <c r="A13" s="10">
        <v>11</v>
      </c>
      <c r="B13" s="16">
        <v>10608</v>
      </c>
      <c r="C13" s="16">
        <v>0</v>
      </c>
      <c r="D13" s="16">
        <v>0</v>
      </c>
      <c r="E13" s="16">
        <f t="shared" si="0"/>
        <v>10608</v>
      </c>
      <c r="F13" s="16">
        <f t="shared" si="1"/>
        <v>10608</v>
      </c>
      <c r="G13" s="17" t="s">
        <v>10</v>
      </c>
    </row>
    <row r="14" spans="1:7" x14ac:dyDescent="0.25">
      <c r="A14" s="10">
        <v>12</v>
      </c>
      <c r="B14" s="16">
        <v>13976</v>
      </c>
      <c r="C14" s="16">
        <v>0</v>
      </c>
      <c r="D14" s="16">
        <v>0</v>
      </c>
      <c r="E14" s="16">
        <f t="shared" si="0"/>
        <v>13976</v>
      </c>
      <c r="F14" s="16">
        <f t="shared" si="1"/>
        <v>13976</v>
      </c>
      <c r="G14" s="17" t="s">
        <v>10</v>
      </c>
    </row>
    <row r="15" spans="1:7" x14ac:dyDescent="0.25">
      <c r="A15" s="13" t="s">
        <v>2</v>
      </c>
      <c r="B15" s="14">
        <f>SUM(B3:B14)</f>
        <v>353805</v>
      </c>
      <c r="C15" s="14">
        <f>SUM(C3:C14)</f>
        <v>275639</v>
      </c>
      <c r="D15" s="14">
        <f>SUM(D3:D14)</f>
        <v>0</v>
      </c>
      <c r="E15" s="14">
        <f>SUM(E3:E14)</f>
        <v>78166</v>
      </c>
      <c r="F15" s="14">
        <f>SUM(F3:F14)</f>
        <v>353805</v>
      </c>
      <c r="G15" s="15"/>
    </row>
  </sheetData>
  <pageMargins left="0.7" right="0.7" top="0.75" bottom="0.75" header="0.3" footer="0.3"/>
  <pageSetup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Menu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2017-11-20T23:20:42Z</dcterms:modified>
</cp:coreProperties>
</file>