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Menu" sheetId="1" r:id="rId1"/>
    <sheet name="Status" sheetId="15" r:id="rId2"/>
  </sheets>
  <calcPr calcId="152511"/>
</workbook>
</file>

<file path=xl/calcChain.xml><?xml version="1.0" encoding="utf-8"?>
<calcChain xmlns="http://schemas.openxmlformats.org/spreadsheetml/2006/main">
  <c r="G33" i="15" l="1"/>
  <c r="C33" i="15"/>
  <c r="D33" i="15" s="1"/>
  <c r="E32" i="15"/>
  <c r="F32" i="15" s="1"/>
  <c r="D32" i="15"/>
  <c r="E31" i="15"/>
  <c r="F31" i="15" s="1"/>
  <c r="D31" i="15"/>
  <c r="G27" i="15"/>
  <c r="D27" i="15"/>
  <c r="C27" i="15"/>
  <c r="E26" i="15"/>
  <c r="F26" i="15" s="1"/>
  <c r="D26" i="15"/>
  <c r="E25" i="15"/>
  <c r="F25" i="15" s="1"/>
  <c r="D25" i="15"/>
  <c r="E5" i="15"/>
  <c r="E33" i="15" l="1"/>
  <c r="F33" i="15" s="1"/>
  <c r="E27" i="15"/>
  <c r="F27" i="15" s="1"/>
</calcChain>
</file>

<file path=xl/comments1.xml><?xml version="1.0" encoding="utf-8"?>
<comments xmlns="http://schemas.openxmlformats.org/spreadsheetml/2006/main">
  <authors>
    <author>Author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Authorized Expended
(Expended) / (Authorized)
</t>
        </r>
      </text>
    </comment>
    <comment ref="F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Remaining
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Pending Authorization
</t>
        </r>
      </text>
    </comment>
    <comment ref="D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Not to Exceed Amount Expended
(Expended) / (Not to Exceed Amount)
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% Remaining
</t>
        </r>
      </text>
    </comment>
  </commentList>
</comments>
</file>

<file path=xl/sharedStrings.xml><?xml version="1.0" encoding="utf-8"?>
<sst xmlns="http://schemas.openxmlformats.org/spreadsheetml/2006/main" count="70" uniqueCount="59">
  <si>
    <t>Additional Services</t>
  </si>
  <si>
    <t>Total</t>
  </si>
  <si>
    <t>Programmatic Water Transmission Pipeline Condition Assessment</t>
  </si>
  <si>
    <t>Three Water Transmission Pipelines Condition Assessment</t>
  </si>
  <si>
    <t>Scope of Services</t>
  </si>
  <si>
    <t>Expended</t>
  </si>
  <si>
    <t>Remaining</t>
  </si>
  <si>
    <t>Amount</t>
  </si>
  <si>
    <t>Metro</t>
  </si>
  <si>
    <t xml:space="preserve">Muni </t>
  </si>
  <si>
    <t>Fixed Fee Amount:</t>
  </si>
  <si>
    <t>Additional Services Amount:</t>
  </si>
  <si>
    <t>Project SOW</t>
  </si>
  <si>
    <t>Total Authorized Budget:</t>
  </si>
  <si>
    <t>Prior Invoiced to Date:</t>
  </si>
  <si>
    <t>Amount to Complete:</t>
  </si>
  <si>
    <t>Condition assessment of three water transmission pipelines:</t>
  </si>
  <si>
    <t>Partial coverage with CCTV &amp; acoustic leak detection, several excavation sites to expose pipe exterior for inspection, high sample rate pressure sensors for surge analysis, and other</t>
  </si>
  <si>
    <t>TCE - FIXED FEE CONSULTANT SERVICES (H135877)</t>
  </si>
  <si>
    <t>technologies and methods.</t>
  </si>
  <si>
    <t>Contract Title:</t>
  </si>
  <si>
    <t>Three Water  Transmission Pipelines Condition Assessment</t>
  </si>
  <si>
    <t xml:space="preserve">   - Kearny Mesa Pipeline</t>
  </si>
  <si>
    <t>Date of Contract NTP:</t>
  </si>
  <si>
    <t xml:space="preserve">   - El Capitan Raw Water Pipeline</t>
  </si>
  <si>
    <t>Term of Contract:</t>
  </si>
  <si>
    <t>5 years</t>
  </si>
  <si>
    <t xml:space="preserve">   - El Capitan Potable Water Pipeline</t>
  </si>
  <si>
    <t>Contract Expiration Date:</t>
  </si>
  <si>
    <t>Consultant/Contractor:</t>
  </si>
  <si>
    <t>Black &amp; Veatch (B&amp;V)</t>
  </si>
  <si>
    <t>Total Not-To-Exceed Amount:</t>
  </si>
  <si>
    <t>Scope of Services Budget:</t>
  </si>
  <si>
    <t>Additional Services Budget:</t>
  </si>
  <si>
    <t xml:space="preserve">Contract Amendment(s)/ </t>
  </si>
  <si>
    <t>Amount by Amendment:</t>
  </si>
  <si>
    <t>Project Manager:</t>
  </si>
  <si>
    <t>Duy Nguyen</t>
  </si>
  <si>
    <t>Revised Total Contract Amount:</t>
  </si>
  <si>
    <t>Authorized Budget</t>
  </si>
  <si>
    <t>Services</t>
  </si>
  <si>
    <t>Expended (Paid to Date)</t>
  </si>
  <si>
    <t>%</t>
  </si>
  <si>
    <t>Authorized to Date</t>
  </si>
  <si>
    <t>Pending Authorization</t>
  </si>
  <si>
    <t>-</t>
  </si>
  <si>
    <t>Not to Exceed Amount</t>
  </si>
  <si>
    <t>Not to Exceed</t>
  </si>
  <si>
    <t>Billing #</t>
  </si>
  <si>
    <t>Date Rec'd</t>
  </si>
  <si>
    <t>Inv #</t>
  </si>
  <si>
    <t>Inv Date</t>
  </si>
  <si>
    <t>Task Manager</t>
  </si>
  <si>
    <t>Date - Accounts Payable / Contract Specialist</t>
  </si>
  <si>
    <t>GR#</t>
  </si>
  <si>
    <t>Accummulative</t>
  </si>
  <si>
    <t>Amount Remaining</t>
  </si>
  <si>
    <t>Invoice To Date</t>
  </si>
  <si>
    <t>%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</si>
</sst>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166" formatCode="&quot;$&quot;#,##0.00"/>
    <numFmt numFmtId="167" formatCode="[$$-409]#,##0_);\([$$-409]#,##0\)"/>
    <numFmt numFmtId="168" formatCode="[$$-409]#,##0.00_);\([$$-409]#,##0.00\)"/>
    <numFmt numFmtId="169" formatCode="mm/dd/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rgb="FFFF0000"/>
      <name val="Calibri"/>
      <family val="2"/>
    </font>
    <font>
      <sz val="9"/>
      <color theme="1"/>
      <name val="Calibri"/>
      <family val="2"/>
    </font>
    <font>
      <b/>
      <sz val="11"/>
      <color rgb="FF000000"/>
      <name val="Calibri"/>
      <family val="2"/>
    </font>
    <font>
      <b/>
      <sz val="10"/>
      <color theme="5" tint="-0.249977111117893"/>
      <name val="Times New Roman"/>
      <family val="1"/>
    </font>
    <font>
      <b/>
      <sz val="19.5"/>
      <color theme="1"/>
      <name val="Calibri"/>
      <family val="2"/>
      <scheme val="minor"/>
    </font>
    <font>
      <b/>
      <sz val="19.5"/>
      <color rgb="FF000000"/>
      <name val="Times New Roman"/>
      <family val="1"/>
    </font>
    <font>
      <sz val="19.5"/>
      <color rgb="FF000000"/>
      <name val="Times New Roman"/>
      <family val="1"/>
    </font>
    <font>
      <sz val="19.5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i/>
      <sz val="12"/>
      <color rgb="FF000000"/>
      <name val="Calibri"/>
      <family val="2"/>
    </font>
    <font>
      <sz val="10"/>
      <color rgb="FF000000"/>
      <name val="Times New Roman"/>
      <family val="1"/>
    </font>
    <font>
      <b/>
      <sz val="14"/>
      <color rgb="FF000000"/>
      <name val="Calibri"/>
      <family val="2"/>
    </font>
    <font>
      <b/>
      <sz val="14"/>
      <color theme="1"/>
      <name val="Times New Roman"/>
      <family val="1"/>
    </font>
    <font>
      <b/>
      <sz val="10"/>
      <color rgb="FF000000"/>
      <name val="Times New Roman"/>
      <family val="1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0" fontId="4" fillId="0" borderId="0" xfId="0" applyFont="1"/>
    <xf numFmtId="0" fontId="0" fillId="0" borderId="0" xfId="0" applyBorder="1"/>
    <xf numFmtId="0" fontId="0" fillId="0" borderId="3" xfId="0" applyBorder="1"/>
    <xf numFmtId="0" fontId="0" fillId="0" borderId="0" xfId="0" applyAlignment="1">
      <alignment horizontal="right"/>
    </xf>
    <xf numFmtId="166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6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7" fillId="0" borderId="2" xfId="0" applyFont="1" applyBorder="1" applyAlignment="1">
      <alignment wrapText="1"/>
    </xf>
    <xf numFmtId="166" fontId="7" fillId="3" borderId="2" xfId="0" applyNumberFormat="1" applyFont="1" applyFill="1" applyBorder="1" applyAlignment="1">
      <alignment horizontal="right" vertical="center"/>
    </xf>
    <xf numFmtId="0" fontId="0" fillId="0" borderId="5" xfId="0" applyNumberFormat="1" applyBorder="1"/>
    <xf numFmtId="0" fontId="0" fillId="0" borderId="6" xfId="0" applyFont="1" applyBorder="1"/>
    <xf numFmtId="0" fontId="0" fillId="0" borderId="7" xfId="0" applyFont="1" applyBorder="1"/>
    <xf numFmtId="0" fontId="0" fillId="0" borderId="0" xfId="0" applyFont="1" applyBorder="1"/>
    <xf numFmtId="0" fontId="7" fillId="0" borderId="2" xfId="0" applyFont="1" applyBorder="1" applyAlignment="1"/>
    <xf numFmtId="0" fontId="7" fillId="0" borderId="0" xfId="0" applyFont="1" applyAlignment="1"/>
    <xf numFmtId="0" fontId="0" fillId="0" borderId="8" xfId="0" applyBorder="1" applyAlignment="1"/>
    <xf numFmtId="0" fontId="0" fillId="0" borderId="0" xfId="0" applyBorder="1" applyAlignment="1"/>
    <xf numFmtId="0" fontId="10" fillId="0" borderId="0" xfId="0" applyNumberFormat="1" applyFont="1" applyBorder="1"/>
    <xf numFmtId="0" fontId="0" fillId="0" borderId="9" xfId="0" applyBorder="1" applyAlignment="1"/>
    <xf numFmtId="0" fontId="0" fillId="0" borderId="0" xfId="0" applyAlignment="1"/>
    <xf numFmtId="0" fontId="0" fillId="0" borderId="0" xfId="0" applyFont="1" applyBorder="1" applyAlignment="1">
      <alignment horizontal="left" vertical="center"/>
    </xf>
    <xf numFmtId="166" fontId="7" fillId="4" borderId="2" xfId="0" applyNumberFormat="1" applyFont="1" applyFill="1" applyBorder="1" applyAlignment="1">
      <alignment horizontal="right" vertical="center"/>
    </xf>
    <xf numFmtId="166" fontId="7" fillId="0" borderId="0" xfId="0" applyNumberFormat="1" applyFont="1"/>
    <xf numFmtId="0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0" xfId="0" applyBorder="1" applyAlignment="1">
      <alignment horizontal="left" vertical="center"/>
    </xf>
    <xf numFmtId="9" fontId="7" fillId="3" borderId="2" xfId="2" applyFont="1" applyFill="1" applyBorder="1" applyAlignment="1">
      <alignment horizontal="center"/>
    </xf>
    <xf numFmtId="0" fontId="0" fillId="0" borderId="8" xfId="0" applyNumberFormat="1" applyBorder="1"/>
    <xf numFmtId="0" fontId="0" fillId="0" borderId="0" xfId="0" applyBorder="1" applyAlignment="1">
      <alignment horizontal="center"/>
    </xf>
    <xf numFmtId="0" fontId="0" fillId="0" borderId="9" xfId="0" applyBorder="1"/>
    <xf numFmtId="0" fontId="0" fillId="0" borderId="8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7" fillId="0" borderId="0" xfId="0" applyFont="1" applyBorder="1" applyAlignment="1">
      <alignment wrapText="1"/>
    </xf>
    <xf numFmtId="166" fontId="7" fillId="0" borderId="0" xfId="0" applyNumberFormat="1" applyFont="1" applyFill="1" applyBorder="1" applyAlignment="1">
      <alignment horizontal="right" vertical="center"/>
    </xf>
    <xf numFmtId="9" fontId="7" fillId="0" borderId="0" xfId="2" applyFont="1" applyFill="1" applyBorder="1" applyAlignment="1">
      <alignment horizontal="center"/>
    </xf>
    <xf numFmtId="0" fontId="0" fillId="0" borderId="8" xfId="0" applyNumberFormat="1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11" fillId="0" borderId="13" xfId="0" applyFont="1" applyFill="1" applyBorder="1" applyAlignment="1"/>
    <xf numFmtId="0" fontId="12" fillId="0" borderId="13" xfId="0" applyFont="1" applyFill="1" applyBorder="1" applyAlignment="1">
      <alignment horizontal="left" vertical="center"/>
    </xf>
    <xf numFmtId="0" fontId="13" fillId="0" borderId="13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14" xfId="0" applyFont="1" applyFill="1" applyBorder="1" applyAlignment="1">
      <alignment horizontal="left"/>
    </xf>
    <xf numFmtId="0" fontId="14" fillId="0" borderId="15" xfId="0" applyFont="1" applyFill="1" applyBorder="1" applyAlignment="1">
      <alignment horizontal="left"/>
    </xf>
    <xf numFmtId="0" fontId="15" fillId="0" borderId="15" xfId="0" applyFont="1" applyFill="1" applyBorder="1" applyAlignment="1">
      <alignment horizontal="left"/>
    </xf>
    <xf numFmtId="0" fontId="16" fillId="0" borderId="15" xfId="0" applyNumberFormat="1" applyFont="1" applyFill="1" applyBorder="1" applyAlignment="1">
      <alignment horizontal="left"/>
    </xf>
    <xf numFmtId="0" fontId="14" fillId="0" borderId="16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0" fillId="0" borderId="9" xfId="0" applyFont="1" applyBorder="1"/>
    <xf numFmtId="0" fontId="14" fillId="0" borderId="17" xfId="0" applyFont="1" applyFill="1" applyBorder="1" applyAlignment="1">
      <alignment horizontal="left"/>
    </xf>
    <xf numFmtId="0" fontId="14" fillId="0" borderId="4" xfId="0" applyFont="1" applyFill="1" applyBorder="1" applyAlignment="1">
      <alignment horizontal="left"/>
    </xf>
    <xf numFmtId="14" fontId="15" fillId="0" borderId="4" xfId="0" applyNumberFormat="1" applyFont="1" applyFill="1" applyBorder="1" applyAlignment="1">
      <alignment horizontal="left"/>
    </xf>
    <xf numFmtId="0" fontId="16" fillId="0" borderId="4" xfId="0" applyNumberFormat="1" applyFont="1" applyFill="1" applyBorder="1" applyAlignment="1">
      <alignment horizontal="left"/>
    </xf>
    <xf numFmtId="14" fontId="14" fillId="0" borderId="4" xfId="0" applyNumberFormat="1" applyFont="1" applyFill="1" applyBorder="1" applyAlignment="1">
      <alignment horizontal="left"/>
    </xf>
    <xf numFmtId="0" fontId="14" fillId="0" borderId="18" xfId="0" applyFont="1" applyFill="1" applyBorder="1" applyAlignment="1">
      <alignment horizontal="center"/>
    </xf>
    <xf numFmtId="0" fontId="0" fillId="0" borderId="8" xfId="0" applyNumberFormat="1" applyFont="1" applyBorder="1"/>
    <xf numFmtId="0" fontId="15" fillId="0" borderId="4" xfId="0" applyFont="1" applyFill="1" applyBorder="1" applyAlignment="1">
      <alignment horizontal="left"/>
    </xf>
    <xf numFmtId="0" fontId="0" fillId="0" borderId="8" xfId="0" applyNumberFormat="1" applyFont="1" applyBorder="1" applyAlignment="1">
      <alignment horizontal="left" vertical="center"/>
    </xf>
    <xf numFmtId="0" fontId="0" fillId="0" borderId="8" xfId="0" applyNumberFormat="1" applyFont="1" applyBorder="1" applyAlignment="1"/>
    <xf numFmtId="0" fontId="0" fillId="0" borderId="0" xfId="0" applyAlignment="1">
      <alignment horizontal="left"/>
    </xf>
    <xf numFmtId="5" fontId="15" fillId="0" borderId="4" xfId="1" applyNumberFormat="1" applyFont="1" applyFill="1" applyBorder="1" applyAlignment="1">
      <alignment horizontal="left"/>
    </xf>
    <xf numFmtId="7" fontId="14" fillId="0" borderId="4" xfId="1" applyNumberFormat="1" applyFont="1" applyFill="1" applyBorder="1" applyAlignment="1">
      <alignment horizontal="left"/>
    </xf>
    <xf numFmtId="0" fontId="17" fillId="0" borderId="19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5" fontId="17" fillId="0" borderId="3" xfId="1" applyNumberFormat="1" applyFont="1" applyFill="1" applyBorder="1" applyAlignment="1">
      <alignment horizontal="left"/>
    </xf>
    <xf numFmtId="166" fontId="0" fillId="0" borderId="3" xfId="0" applyNumberFormat="1" applyBorder="1"/>
    <xf numFmtId="0" fontId="0" fillId="0" borderId="20" xfId="0" applyBorder="1" applyAlignment="1">
      <alignment horizontal="center"/>
    </xf>
    <xf numFmtId="0" fontId="17" fillId="0" borderId="8" xfId="0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5" fontId="17" fillId="0" borderId="4" xfId="1" applyNumberFormat="1" applyFont="1" applyFill="1" applyBorder="1" applyAlignment="1">
      <alignment horizontal="left"/>
    </xf>
    <xf numFmtId="166" fontId="0" fillId="0" borderId="0" xfId="0" applyNumberFormat="1" applyBorder="1"/>
    <xf numFmtId="0" fontId="0" fillId="0" borderId="9" xfId="0" applyBorder="1" applyAlignment="1">
      <alignment horizontal="center"/>
    </xf>
    <xf numFmtId="0" fontId="0" fillId="0" borderId="8" xfId="0" applyFont="1" applyBorder="1" applyAlignment="1"/>
    <xf numFmtId="0" fontId="14" fillId="0" borderId="21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6" fillId="0" borderId="1" xfId="0" applyNumberFormat="1" applyFont="1" applyFill="1" applyBorder="1" applyAlignment="1">
      <alignment horizontal="left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2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7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18" xfId="0" applyFont="1" applyFill="1" applyBorder="1" applyAlignment="1">
      <alignment horizontal="center" vertical="center"/>
    </xf>
    <xf numFmtId="0" fontId="19" fillId="0" borderId="19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0" fontId="19" fillId="0" borderId="3" xfId="0" applyFont="1" applyFill="1" applyBorder="1" applyAlignment="1">
      <alignment horizontal="left" vertical="center"/>
    </xf>
    <xf numFmtId="0" fontId="16" fillId="0" borderId="3" xfId="0" applyNumberFormat="1" applyFont="1" applyFill="1" applyBorder="1" applyAlignment="1">
      <alignment horizontal="left" vertical="center"/>
    </xf>
    <xf numFmtId="0" fontId="14" fillId="0" borderId="20" xfId="0" applyFont="1" applyFill="1" applyBorder="1" applyAlignment="1">
      <alignment horizontal="center" vertical="center"/>
    </xf>
    <xf numFmtId="0" fontId="19" fillId="0" borderId="23" xfId="0" applyFont="1" applyFill="1" applyBorder="1" applyAlignment="1">
      <alignment horizontal="left" vertical="center"/>
    </xf>
    <xf numFmtId="44" fontId="15" fillId="0" borderId="13" xfId="1" applyFont="1" applyFill="1" applyBorder="1" applyAlignment="1">
      <alignment horizontal="left" vertical="center"/>
    </xf>
    <xf numFmtId="167" fontId="19" fillId="0" borderId="13" xfId="1" applyNumberFormat="1" applyFont="1" applyFill="1" applyBorder="1" applyAlignment="1">
      <alignment horizontal="left" vertical="center"/>
    </xf>
    <xf numFmtId="0" fontId="16" fillId="0" borderId="13" xfId="0" applyNumberFormat="1" applyFont="1" applyFill="1" applyBorder="1" applyAlignment="1">
      <alignment horizontal="left" vertical="center"/>
    </xf>
    <xf numFmtId="168" fontId="15" fillId="0" borderId="13" xfId="1" applyNumberFormat="1" applyFont="1" applyFill="1" applyBorder="1" applyAlignment="1">
      <alignment horizontal="left" vertical="center"/>
    </xf>
    <xf numFmtId="14" fontId="14" fillId="0" borderId="24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0" fillId="0" borderId="23" xfId="0" applyNumberFormat="1" applyBorder="1"/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24" xfId="0" applyBorder="1"/>
    <xf numFmtId="0" fontId="0" fillId="0" borderId="0" xfId="0" applyNumberFormat="1" applyBorder="1"/>
    <xf numFmtId="0" fontId="20" fillId="0" borderId="0" xfId="0" applyFont="1" applyFill="1" applyBorder="1"/>
    <xf numFmtId="0" fontId="4" fillId="0" borderId="14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0" fillId="0" borderId="17" xfId="0" applyFont="1" applyFill="1" applyBorder="1"/>
    <xf numFmtId="7" fontId="0" fillId="0" borderId="4" xfId="0" applyNumberFormat="1" applyFont="1" applyBorder="1"/>
    <xf numFmtId="9" fontId="0" fillId="0" borderId="4" xfId="0" applyNumberFormat="1" applyFont="1" applyBorder="1" applyAlignment="1">
      <alignment horizontal="center"/>
    </xf>
    <xf numFmtId="9" fontId="0" fillId="0" borderId="4" xfId="0" applyNumberFormat="1" applyBorder="1"/>
    <xf numFmtId="7" fontId="0" fillId="0" borderId="18" xfId="0" applyNumberFormat="1" applyFont="1" applyBorder="1"/>
    <xf numFmtId="0" fontId="0" fillId="0" borderId="0" xfId="0" applyFont="1"/>
    <xf numFmtId="0" fontId="0" fillId="0" borderId="23" xfId="0" applyFont="1" applyFill="1" applyBorder="1"/>
    <xf numFmtId="7" fontId="0" fillId="5" borderId="13" xfId="0" applyNumberFormat="1" applyFont="1" applyFill="1" applyBorder="1"/>
    <xf numFmtId="9" fontId="0" fillId="0" borderId="13" xfId="0" applyNumberFormat="1" applyFont="1" applyBorder="1" applyAlignment="1">
      <alignment horizontal="center"/>
    </xf>
    <xf numFmtId="7" fontId="0" fillId="0" borderId="13" xfId="0" applyNumberFormat="1" applyFont="1" applyBorder="1"/>
    <xf numFmtId="9" fontId="0" fillId="0" borderId="13" xfId="0" applyNumberFormat="1" applyBorder="1"/>
    <xf numFmtId="7" fontId="0" fillId="0" borderId="13" xfId="0" applyNumberFormat="1" applyFont="1" applyFill="1" applyBorder="1"/>
    <xf numFmtId="7" fontId="0" fillId="0" borderId="24" xfId="0" applyNumberFormat="1" applyFont="1" applyBorder="1"/>
    <xf numFmtId="0" fontId="0" fillId="0" borderId="0" xfId="0" applyFont="1" applyFill="1" applyBorder="1"/>
    <xf numFmtId="7" fontId="0" fillId="0" borderId="0" xfId="0" applyNumberFormat="1" applyFont="1" applyFill="1" applyBorder="1"/>
    <xf numFmtId="9" fontId="0" fillId="0" borderId="0" xfId="0" applyNumberFormat="1" applyFont="1" applyFill="1" applyBorder="1" applyAlignment="1">
      <alignment horizontal="center"/>
    </xf>
    <xf numFmtId="9" fontId="0" fillId="0" borderId="0" xfId="0" applyNumberFormat="1" applyFill="1" applyBorder="1"/>
    <xf numFmtId="44" fontId="0" fillId="0" borderId="0" xfId="0" applyNumberFormat="1" applyFont="1" applyBorder="1"/>
    <xf numFmtId="0" fontId="4" fillId="0" borderId="0" xfId="0" applyFont="1" applyFill="1" applyBorder="1"/>
    <xf numFmtId="7" fontId="0" fillId="0" borderId="0" xfId="0" applyNumberFormat="1" applyFont="1" applyBorder="1"/>
    <xf numFmtId="7" fontId="0" fillId="5" borderId="24" xfId="0" applyNumberFormat="1" applyFont="1" applyFill="1" applyBorder="1"/>
    <xf numFmtId="0" fontId="21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0" xfId="0" applyNumberFormat="1" applyFill="1" applyAlignment="1">
      <alignment horizontal="center"/>
    </xf>
    <xf numFmtId="0" fontId="21" fillId="0" borderId="4" xfId="0" applyFont="1" applyFill="1" applyBorder="1" applyAlignment="1">
      <alignment horizontal="center" vertical="center" wrapText="1"/>
    </xf>
    <xf numFmtId="0" fontId="22" fillId="0" borderId="4" xfId="0" applyFont="1" applyBorder="1" applyAlignment="1">
      <alignment horizontal="center"/>
    </xf>
    <xf numFmtId="49" fontId="22" fillId="0" borderId="4" xfId="0" applyNumberFormat="1" applyFont="1" applyBorder="1" applyAlignment="1">
      <alignment horizontal="center"/>
    </xf>
    <xf numFmtId="166" fontId="22" fillId="0" borderId="4" xfId="0" applyNumberFormat="1" applyFont="1" applyBorder="1" applyAlignment="1">
      <alignment horizontal="center"/>
    </xf>
    <xf numFmtId="0" fontId="21" fillId="6" borderId="4" xfId="0" applyFont="1" applyFill="1" applyBorder="1" applyAlignment="1">
      <alignment horizontal="center"/>
    </xf>
    <xf numFmtId="0" fontId="21" fillId="0" borderId="4" xfId="0" applyFont="1" applyFill="1" applyBorder="1" applyAlignment="1">
      <alignment horizontal="center"/>
    </xf>
    <xf numFmtId="0" fontId="21" fillId="0" borderId="4" xfId="0" applyFont="1" applyFill="1" applyBorder="1" applyAlignment="1">
      <alignment horizontal="left"/>
    </xf>
    <xf numFmtId="0" fontId="21" fillId="0" borderId="4" xfId="0" applyFont="1" applyFill="1" applyBorder="1" applyAlignment="1">
      <alignment horizontal="center" wrapText="1"/>
    </xf>
    <xf numFmtId="0" fontId="5" fillId="0" borderId="0" xfId="0" applyFont="1" applyFill="1" applyAlignment="1">
      <alignment horizontal="center"/>
    </xf>
    <xf numFmtId="169" fontId="23" fillId="0" borderId="0" xfId="0" applyNumberFormat="1" applyFont="1" applyFill="1" applyBorder="1" applyAlignment="1">
      <alignment horizontal="center"/>
    </xf>
    <xf numFmtId="169" fontId="5" fillId="0" borderId="0" xfId="0" applyNumberFormat="1" applyFont="1" applyFill="1" applyAlignment="1">
      <alignment horizontal="center"/>
    </xf>
    <xf numFmtId="166" fontId="5" fillId="0" borderId="0" xfId="0" applyNumberFormat="1" applyFont="1" applyFill="1"/>
    <xf numFmtId="0" fontId="24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/>
    <xf numFmtId="0" fontId="25" fillId="0" borderId="0" xfId="0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14" fontId="5" fillId="0" borderId="0" xfId="0" applyNumberFormat="1" applyFont="1" applyFill="1"/>
    <xf numFmtId="16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9" fontId="0" fillId="0" borderId="0" xfId="0" applyNumberFormat="1" applyFill="1" applyAlignment="1">
      <alignment horizontal="center"/>
    </xf>
    <xf numFmtId="166" fontId="0" fillId="0" borderId="0" xfId="0" applyNumberFormat="1" applyFill="1"/>
    <xf numFmtId="0" fontId="0" fillId="0" borderId="0" xfId="0" applyNumberFormat="1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B5"/>
  <sheetViews>
    <sheetView showGridLines="0" workbookViewId="0">
      <selection activeCell="AB16" sqref="AB16"/>
    </sheetView>
  </sheetViews>
  <sheetFormatPr defaultColWidth="2.85546875" defaultRowHeight="15" x14ac:dyDescent="0.25"/>
  <sheetData>
    <row r="2" spans="2:2" x14ac:dyDescent="0.25">
      <c r="B2" t="s">
        <v>2</v>
      </c>
    </row>
    <row r="5" spans="2:2" x14ac:dyDescent="0.25">
      <c r="B5" t="s">
        <v>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22</xdr:col>
                <xdr:colOff>0</xdr:colOff>
                <xdr:row>4</xdr:row>
                <xdr:rowOff>0</xdr:rowOff>
              </from>
              <to>
                <xdr:col>26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22</xdr:col>
                <xdr:colOff>0</xdr:colOff>
                <xdr:row>1</xdr:row>
                <xdr:rowOff>0</xdr:rowOff>
              </from>
              <to>
                <xdr:col>26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G167"/>
  <sheetViews>
    <sheetView showGridLines="0" tabSelected="1" topLeftCell="A16" zoomScaleNormal="100" workbookViewId="0">
      <selection activeCell="C13" sqref="C13"/>
    </sheetView>
  </sheetViews>
  <sheetFormatPr defaultRowHeight="15" x14ac:dyDescent="0.25"/>
  <cols>
    <col min="1" max="1" width="2.140625" customWidth="1"/>
    <col min="2" max="2" width="22.5703125" style="6" customWidth="1"/>
    <col min="3" max="3" width="21.5703125" style="162" customWidth="1"/>
    <col min="4" max="5" width="15.7109375" style="6" customWidth="1"/>
    <col min="6" max="6" width="15.7109375" style="5" customWidth="1"/>
    <col min="7" max="7" width="22.140625" style="6" customWidth="1"/>
    <col min="8" max="8" width="3" style="6" customWidth="1"/>
    <col min="9" max="9" width="50.42578125" customWidth="1"/>
    <col min="10" max="10" width="20.7109375" style="7" customWidth="1"/>
    <col min="11" max="11" width="20.7109375" style="6" customWidth="1"/>
    <col min="12" max="13" width="20.7109375" customWidth="1"/>
    <col min="14" max="14" width="31.140625" customWidth="1"/>
    <col min="15" max="15" width="24.5703125" customWidth="1"/>
    <col min="16" max="16" width="22.7109375" customWidth="1"/>
    <col min="17" max="17" width="18" bestFit="1" customWidth="1"/>
  </cols>
  <sheetData>
    <row r="1" spans="2:20" ht="8.25" customHeight="1" x14ac:dyDescent="0.25">
      <c r="B1"/>
      <c r="C1" s="4"/>
      <c r="D1"/>
      <c r="E1"/>
      <c r="K1"/>
    </row>
    <row r="2" spans="2:20" ht="15.75" thickBot="1" x14ac:dyDescent="0.3">
      <c r="B2" s="8"/>
      <c r="C2" s="9" t="s">
        <v>8</v>
      </c>
      <c r="D2" s="9" t="s">
        <v>9</v>
      </c>
      <c r="E2" s="9" t="s">
        <v>1</v>
      </c>
      <c r="F2" s="10"/>
      <c r="G2" s="11"/>
      <c r="H2" s="11"/>
      <c r="I2" s="12"/>
      <c r="J2" s="13"/>
      <c r="K2"/>
    </row>
    <row r="3" spans="2:20" x14ac:dyDescent="0.25">
      <c r="B3" s="14" t="s">
        <v>10</v>
      </c>
      <c r="C3" s="15"/>
      <c r="D3" s="15"/>
      <c r="E3" s="15"/>
      <c r="F3" s="10"/>
      <c r="G3" s="11"/>
      <c r="H3" s="11"/>
      <c r="I3" s="16"/>
      <c r="J3" s="17"/>
      <c r="K3" s="17"/>
      <c r="L3" s="17"/>
      <c r="M3" s="17"/>
      <c r="N3" s="18"/>
      <c r="P3" s="19"/>
    </row>
    <row r="4" spans="2:20" s="26" customFormat="1" ht="25.5" x14ac:dyDescent="0.4">
      <c r="B4" s="20" t="s">
        <v>11</v>
      </c>
      <c r="C4" s="15"/>
      <c r="D4" s="15"/>
      <c r="E4" s="15"/>
      <c r="F4" s="21"/>
      <c r="G4" s="11"/>
      <c r="H4" s="11"/>
      <c r="I4" s="22"/>
      <c r="J4" s="23"/>
      <c r="K4" s="24" t="s">
        <v>12</v>
      </c>
      <c r="L4" s="23"/>
      <c r="M4" s="23"/>
      <c r="N4" s="25"/>
      <c r="P4" s="27"/>
    </row>
    <row r="5" spans="2:20" ht="15.75" thickBot="1" x14ac:dyDescent="0.3">
      <c r="B5" s="14" t="s">
        <v>13</v>
      </c>
      <c r="C5" s="28"/>
      <c r="D5" s="28"/>
      <c r="E5" s="28">
        <f>E3+E4</f>
        <v>0</v>
      </c>
      <c r="F5" s="29"/>
      <c r="G5" s="11"/>
      <c r="H5" s="11"/>
      <c r="I5" s="30"/>
      <c r="J5" s="31"/>
      <c r="K5" s="32"/>
      <c r="L5" s="32"/>
      <c r="M5" s="32"/>
      <c r="N5" s="33"/>
      <c r="P5" s="34"/>
    </row>
    <row r="6" spans="2:20" ht="15.75" thickTop="1" x14ac:dyDescent="0.25">
      <c r="B6" s="14" t="s">
        <v>14</v>
      </c>
      <c r="C6" s="28"/>
      <c r="D6" s="28"/>
      <c r="E6" s="28"/>
      <c r="F6" s="35"/>
      <c r="G6" s="11"/>
      <c r="H6" s="11"/>
      <c r="I6" s="36"/>
      <c r="J6" s="37"/>
      <c r="K6" s="2"/>
      <c r="L6" s="2"/>
      <c r="M6" s="2"/>
      <c r="N6" s="38"/>
      <c r="P6" s="34"/>
    </row>
    <row r="7" spans="2:20" x14ac:dyDescent="0.25">
      <c r="B7" s="14" t="s">
        <v>15</v>
      </c>
      <c r="C7" s="28"/>
      <c r="D7" s="28"/>
      <c r="E7" s="28"/>
      <c r="F7" s="35"/>
      <c r="G7" s="11"/>
      <c r="H7" s="11"/>
      <c r="I7" s="39" t="s">
        <v>16</v>
      </c>
      <c r="J7" s="27"/>
      <c r="K7" s="27"/>
      <c r="L7" s="27"/>
      <c r="M7" s="27"/>
      <c r="N7" s="40"/>
      <c r="P7" s="19"/>
    </row>
    <row r="8" spans="2:20" x14ac:dyDescent="0.25">
      <c r="B8" s="41"/>
      <c r="C8" s="42"/>
      <c r="D8" s="42"/>
      <c r="E8" s="42"/>
      <c r="F8" s="43"/>
      <c r="G8" s="11"/>
      <c r="H8" s="11"/>
      <c r="I8" s="44" t="s">
        <v>17</v>
      </c>
      <c r="J8" s="34"/>
      <c r="K8" s="34"/>
      <c r="L8" s="34"/>
      <c r="M8" s="34"/>
      <c r="N8" s="45"/>
      <c r="P8" s="19"/>
    </row>
    <row r="9" spans="2:20" ht="26.25" thickBot="1" x14ac:dyDescent="0.4">
      <c r="B9" s="46" t="s">
        <v>18</v>
      </c>
      <c r="C9" s="47"/>
      <c r="D9" s="48"/>
      <c r="E9" s="49"/>
      <c r="F9" s="49"/>
      <c r="G9" s="48"/>
      <c r="H9" s="50"/>
      <c r="I9" s="44" t="s">
        <v>19</v>
      </c>
      <c r="J9" s="34"/>
      <c r="K9" s="34"/>
      <c r="L9" s="34"/>
      <c r="M9" s="34"/>
      <c r="N9" s="45"/>
      <c r="P9" s="19"/>
    </row>
    <row r="10" spans="2:20" ht="15.75" x14ac:dyDescent="0.25">
      <c r="B10" s="51" t="s">
        <v>20</v>
      </c>
      <c r="C10" s="52"/>
      <c r="D10" s="53" t="s">
        <v>21</v>
      </c>
      <c r="E10" s="54"/>
      <c r="F10" s="52"/>
      <c r="G10" s="55"/>
      <c r="H10" s="56"/>
      <c r="I10" s="44" t="s">
        <v>22</v>
      </c>
      <c r="J10" s="19"/>
      <c r="K10" s="19"/>
      <c r="L10" s="19"/>
      <c r="M10" s="19"/>
      <c r="N10" s="57"/>
      <c r="P10" s="19"/>
    </row>
    <row r="11" spans="2:20" ht="15.75" customHeight="1" x14ac:dyDescent="0.25">
      <c r="B11" s="58" t="s">
        <v>23</v>
      </c>
      <c r="C11" s="59"/>
      <c r="D11" s="60">
        <v>41473</v>
      </c>
      <c r="E11" s="61"/>
      <c r="F11" s="62"/>
      <c r="G11" s="63"/>
      <c r="H11" s="56"/>
      <c r="I11" s="64" t="s">
        <v>24</v>
      </c>
      <c r="J11" s="19"/>
      <c r="K11" s="19"/>
      <c r="L11" s="19"/>
      <c r="M11" s="19"/>
      <c r="N11" s="57"/>
      <c r="P11" s="19"/>
    </row>
    <row r="12" spans="2:20" ht="15.75" x14ac:dyDescent="0.25">
      <c r="B12" s="58" t="s">
        <v>25</v>
      </c>
      <c r="C12" s="59"/>
      <c r="D12" s="65" t="s">
        <v>26</v>
      </c>
      <c r="E12" s="61"/>
      <c r="F12" s="59"/>
      <c r="G12" s="63"/>
      <c r="H12" s="56"/>
      <c r="I12" s="66" t="s">
        <v>27</v>
      </c>
      <c r="J12" s="19"/>
      <c r="K12" s="19"/>
      <c r="L12" s="19"/>
      <c r="M12" s="19"/>
      <c r="N12" s="57"/>
      <c r="P12" s="19"/>
    </row>
    <row r="13" spans="2:20" ht="15.75" x14ac:dyDescent="0.25">
      <c r="B13" s="58" t="s">
        <v>28</v>
      </c>
      <c r="C13" s="59"/>
      <c r="D13" s="60">
        <v>43100</v>
      </c>
      <c r="E13" s="61"/>
      <c r="F13" s="62"/>
      <c r="G13" s="63"/>
      <c r="H13" s="56"/>
      <c r="I13" s="67"/>
      <c r="J13" s="19"/>
      <c r="K13" s="19"/>
      <c r="L13" s="19"/>
      <c r="M13" s="19"/>
      <c r="N13" s="57"/>
      <c r="P13" s="19"/>
    </row>
    <row r="14" spans="2:20" ht="15.75" x14ac:dyDescent="0.25">
      <c r="B14" s="58" t="s">
        <v>29</v>
      </c>
      <c r="C14" s="59"/>
      <c r="D14" s="65" t="s">
        <v>30</v>
      </c>
      <c r="E14" s="61"/>
      <c r="F14" s="59"/>
      <c r="G14" s="63"/>
      <c r="H14" s="56"/>
      <c r="I14" s="67"/>
      <c r="J14" s="19"/>
      <c r="K14" s="19"/>
      <c r="L14" s="19"/>
      <c r="M14" s="19"/>
      <c r="N14" s="57"/>
      <c r="P14" s="19"/>
      <c r="S14" s="1"/>
      <c r="T14" s="68"/>
    </row>
    <row r="15" spans="2:20" ht="15.75" x14ac:dyDescent="0.25">
      <c r="B15" s="58" t="s">
        <v>31</v>
      </c>
      <c r="C15" s="59"/>
      <c r="D15" s="69">
        <v>2999946</v>
      </c>
      <c r="E15" s="61"/>
      <c r="F15" s="70"/>
      <c r="G15" s="63"/>
      <c r="H15" s="56"/>
      <c r="I15" s="67"/>
      <c r="J15" s="19"/>
      <c r="K15" s="19"/>
      <c r="L15" s="19"/>
      <c r="M15" s="19"/>
      <c r="N15" s="57"/>
      <c r="P15" s="19"/>
      <c r="S15" s="1"/>
      <c r="T15" s="68"/>
    </row>
    <row r="16" spans="2:20" ht="15.75" x14ac:dyDescent="0.25">
      <c r="B16" s="71" t="s">
        <v>32</v>
      </c>
      <c r="C16" s="72"/>
      <c r="D16" s="73">
        <v>2654946</v>
      </c>
      <c r="E16" s="3"/>
      <c r="F16" s="74"/>
      <c r="G16" s="75"/>
      <c r="H16" s="37"/>
      <c r="I16" s="67"/>
      <c r="J16" s="19"/>
      <c r="K16" s="19"/>
      <c r="L16" s="19"/>
      <c r="M16" s="19"/>
      <c r="N16" s="57"/>
      <c r="P16" s="19"/>
      <c r="S16" s="1"/>
      <c r="T16" s="68"/>
    </row>
    <row r="17" spans="2:19" ht="15.75" x14ac:dyDescent="0.25">
      <c r="B17" s="76" t="s">
        <v>33</v>
      </c>
      <c r="C17" s="77"/>
      <c r="D17" s="78">
        <v>345000</v>
      </c>
      <c r="E17" s="2"/>
      <c r="F17" s="79"/>
      <c r="G17" s="80"/>
      <c r="H17" s="37"/>
      <c r="I17" s="81"/>
      <c r="J17" s="19"/>
      <c r="K17" s="19"/>
      <c r="L17" s="19"/>
      <c r="M17" s="19"/>
      <c r="N17" s="57"/>
      <c r="S17" s="1"/>
    </row>
    <row r="18" spans="2:19" ht="15.75" x14ac:dyDescent="0.25">
      <c r="B18" s="82" t="s">
        <v>34</v>
      </c>
      <c r="C18" s="83"/>
      <c r="D18" s="84"/>
      <c r="E18" s="85"/>
      <c r="F18" s="86"/>
      <c r="G18" s="87"/>
      <c r="H18" s="88"/>
      <c r="I18" s="67"/>
      <c r="J18" s="19"/>
      <c r="K18" s="19"/>
      <c r="L18" s="19"/>
      <c r="M18" s="19"/>
      <c r="N18" s="57"/>
    </row>
    <row r="19" spans="2:19" ht="15.75" x14ac:dyDescent="0.25">
      <c r="B19" s="89" t="s">
        <v>35</v>
      </c>
      <c r="C19" s="90"/>
      <c r="D19" s="69"/>
      <c r="E19" s="69"/>
      <c r="F19" s="69"/>
      <c r="G19" s="91"/>
      <c r="H19" s="88"/>
      <c r="I19" s="67"/>
      <c r="J19" s="19"/>
      <c r="K19" s="19"/>
      <c r="L19" s="19"/>
      <c r="M19" s="19"/>
      <c r="N19" s="57"/>
    </row>
    <row r="20" spans="2:19" ht="18.75" x14ac:dyDescent="0.25">
      <c r="B20" s="92" t="s">
        <v>36</v>
      </c>
      <c r="C20" s="93"/>
      <c r="D20" s="94" t="s">
        <v>37</v>
      </c>
      <c r="E20" s="95"/>
      <c r="F20" s="93"/>
      <c r="G20" s="96"/>
      <c r="H20" s="88"/>
      <c r="I20" s="36"/>
      <c r="J20" s="37"/>
      <c r="K20" s="2"/>
      <c r="L20" s="2"/>
      <c r="M20" s="2"/>
      <c r="N20" s="38"/>
    </row>
    <row r="21" spans="2:19" ht="19.5" thickBot="1" x14ac:dyDescent="0.3">
      <c r="B21" s="97" t="s">
        <v>38</v>
      </c>
      <c r="C21" s="98"/>
      <c r="D21" s="99"/>
      <c r="E21" s="100"/>
      <c r="F21" s="101"/>
      <c r="G21" s="102"/>
      <c r="H21" s="103"/>
      <c r="I21" s="104"/>
      <c r="J21" s="105"/>
      <c r="K21" s="106"/>
      <c r="L21" s="106"/>
      <c r="M21" s="106"/>
      <c r="N21" s="107"/>
      <c r="Q21" s="37"/>
    </row>
    <row r="22" spans="2:19" x14ac:dyDescent="0.25">
      <c r="B22" s="1"/>
      <c r="C22"/>
      <c r="D22"/>
      <c r="E22"/>
      <c r="J22" s="108"/>
      <c r="K22" s="37"/>
      <c r="L22" s="2"/>
      <c r="M22" s="2"/>
      <c r="N22" s="2"/>
      <c r="O22" s="2"/>
      <c r="Q22" s="37"/>
    </row>
    <row r="23" spans="2:19" ht="19.5" thickBot="1" x14ac:dyDescent="0.35">
      <c r="B23" s="109" t="s">
        <v>39</v>
      </c>
      <c r="C23"/>
      <c r="D23"/>
      <c r="E23"/>
      <c r="F23"/>
      <c r="G23"/>
      <c r="H23"/>
      <c r="Q23" s="37"/>
    </row>
    <row r="24" spans="2:19" ht="30" x14ac:dyDescent="0.25">
      <c r="B24" s="110" t="s">
        <v>40</v>
      </c>
      <c r="C24" s="111" t="s">
        <v>41</v>
      </c>
      <c r="D24" s="112" t="s">
        <v>42</v>
      </c>
      <c r="E24" s="112" t="s">
        <v>6</v>
      </c>
      <c r="F24" s="112" t="s">
        <v>42</v>
      </c>
      <c r="G24" s="113" t="s">
        <v>43</v>
      </c>
      <c r="H24" s="113"/>
      <c r="I24" s="114" t="s">
        <v>44</v>
      </c>
      <c r="Q24" s="37"/>
    </row>
    <row r="25" spans="2:19" x14ac:dyDescent="0.25">
      <c r="B25" s="115" t="s">
        <v>4</v>
      </c>
      <c r="C25" s="116">
        <v>2654946</v>
      </c>
      <c r="D25" s="117">
        <f>C25/G25</f>
        <v>1</v>
      </c>
      <c r="E25" s="116">
        <f>G25-C25</f>
        <v>0</v>
      </c>
      <c r="F25" s="118">
        <f>E25/G25</f>
        <v>0</v>
      </c>
      <c r="G25" s="116">
        <v>2654946</v>
      </c>
      <c r="H25" s="116"/>
      <c r="I25" s="119" t="s">
        <v>45</v>
      </c>
      <c r="Q25" s="37"/>
    </row>
    <row r="26" spans="2:19" x14ac:dyDescent="0.25">
      <c r="B26" s="115" t="s">
        <v>0</v>
      </c>
      <c r="C26" s="116">
        <v>73291.37</v>
      </c>
      <c r="D26" s="117">
        <f>C26/G26</f>
        <v>0.85001716471398714</v>
      </c>
      <c r="E26" s="116">
        <f>G26-C26</f>
        <v>12932.029999999999</v>
      </c>
      <c r="F26" s="118">
        <f>E26/G26</f>
        <v>0.14998283528601283</v>
      </c>
      <c r="G26" s="116">
        <v>86223.4</v>
      </c>
      <c r="H26" s="116"/>
      <c r="I26" s="119" t="s">
        <v>45</v>
      </c>
      <c r="J26" s="120"/>
      <c r="K26" s="120"/>
      <c r="L26" s="120"/>
      <c r="M26" s="120"/>
      <c r="N26" s="120"/>
      <c r="O26" s="120"/>
      <c r="P26" s="120"/>
      <c r="Q26" s="37"/>
    </row>
    <row r="27" spans="2:19" ht="15.75" thickBot="1" x14ac:dyDescent="0.3">
      <c r="B27" s="121" t="s">
        <v>1</v>
      </c>
      <c r="C27" s="122">
        <f>C25+C26</f>
        <v>2728237.37</v>
      </c>
      <c r="D27" s="123">
        <f>C27/G27</f>
        <v>0.99528229448351502</v>
      </c>
      <c r="E27" s="124">
        <f>E25+E26</f>
        <v>12932.029999999999</v>
      </c>
      <c r="F27" s="125">
        <f>E27/G27</f>
        <v>4.7177055164850448E-3</v>
      </c>
      <c r="G27" s="122">
        <f>G25+G26</f>
        <v>2741169.4</v>
      </c>
      <c r="H27" s="126"/>
      <c r="I27" s="127" t="s">
        <v>45</v>
      </c>
      <c r="P27" s="120"/>
      <c r="Q27" s="37"/>
    </row>
    <row r="28" spans="2:19" x14ac:dyDescent="0.25">
      <c r="B28" s="128"/>
      <c r="C28" s="129"/>
      <c r="D28" s="130"/>
      <c r="E28" s="129"/>
      <c r="F28" s="131"/>
      <c r="G28" s="129"/>
      <c r="H28" s="129"/>
      <c r="I28" s="132"/>
      <c r="P28" s="120"/>
      <c r="Q28" s="37"/>
    </row>
    <row r="29" spans="2:19" ht="19.5" thickBot="1" x14ac:dyDescent="0.35">
      <c r="B29" s="109" t="s">
        <v>46</v>
      </c>
      <c r="C29"/>
      <c r="D29"/>
      <c r="E29"/>
      <c r="F29"/>
      <c r="G29" s="120"/>
      <c r="H29" s="120"/>
      <c r="P29" s="120"/>
      <c r="Q29" s="37"/>
    </row>
    <row r="30" spans="2:19" ht="30" customHeight="1" x14ac:dyDescent="0.25">
      <c r="B30" s="110" t="s">
        <v>40</v>
      </c>
      <c r="C30" s="113" t="s">
        <v>5</v>
      </c>
      <c r="D30" s="112" t="s">
        <v>42</v>
      </c>
      <c r="E30" s="112" t="s">
        <v>6</v>
      </c>
      <c r="F30" s="112" t="s">
        <v>42</v>
      </c>
      <c r="G30" s="114" t="s">
        <v>47</v>
      </c>
      <c r="H30" s="133"/>
      <c r="P30" s="120"/>
      <c r="Q30" s="37"/>
    </row>
    <row r="31" spans="2:19" x14ac:dyDescent="0.25">
      <c r="B31" s="115" t="s">
        <v>4</v>
      </c>
      <c r="C31" s="116">
        <v>2654946</v>
      </c>
      <c r="D31" s="117">
        <f>C31/G31</f>
        <v>1</v>
      </c>
      <c r="E31" s="116">
        <f>G31-C31</f>
        <v>0</v>
      </c>
      <c r="F31" s="118">
        <f>E31/G31</f>
        <v>0</v>
      </c>
      <c r="G31" s="119">
        <v>2654946</v>
      </c>
      <c r="H31" s="134"/>
      <c r="P31" s="120"/>
      <c r="Q31" s="37"/>
    </row>
    <row r="32" spans="2:19" x14ac:dyDescent="0.25">
      <c r="B32" s="115" t="s">
        <v>0</v>
      </c>
      <c r="C32" s="116">
        <v>345000</v>
      </c>
      <c r="D32" s="117">
        <f>C32/G32</f>
        <v>1</v>
      </c>
      <c r="E32" s="116">
        <f>G32-C32</f>
        <v>0</v>
      </c>
      <c r="F32" s="118">
        <f>E32/G32</f>
        <v>0</v>
      </c>
      <c r="G32" s="119">
        <v>345000</v>
      </c>
      <c r="H32" s="134"/>
      <c r="I32" s="5"/>
      <c r="P32" s="120"/>
      <c r="Q32" s="37"/>
    </row>
    <row r="33" spans="2:33" ht="15.75" thickBot="1" x14ac:dyDescent="0.3">
      <c r="B33" s="121" t="s">
        <v>1</v>
      </c>
      <c r="C33" s="124">
        <f>C31+C32</f>
        <v>2999946</v>
      </c>
      <c r="D33" s="123">
        <f>C33/G33</f>
        <v>1</v>
      </c>
      <c r="E33" s="124">
        <f>E31+E32</f>
        <v>0</v>
      </c>
      <c r="F33" s="125">
        <f>E33/G33</f>
        <v>0</v>
      </c>
      <c r="G33" s="135">
        <f>G31+G32</f>
        <v>2999946</v>
      </c>
      <c r="H33" s="129"/>
      <c r="I33" s="2"/>
      <c r="J33" s="136"/>
      <c r="K33" s="2"/>
      <c r="T33" s="137"/>
    </row>
    <row r="34" spans="2:33" x14ac:dyDescent="0.25">
      <c r="B34"/>
      <c r="C34" s="4"/>
      <c r="D34"/>
      <c r="E34"/>
      <c r="G34" s="138"/>
      <c r="H34" s="139"/>
      <c r="I34" s="5"/>
      <c r="K34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2"/>
      <c r="AG34" s="2"/>
    </row>
    <row r="35" spans="2:33" ht="15" customHeight="1" x14ac:dyDescent="0.25">
      <c r="B35" s="140" t="s">
        <v>48</v>
      </c>
      <c r="C35" s="141" t="s">
        <v>49</v>
      </c>
      <c r="D35" s="142" t="s">
        <v>50</v>
      </c>
      <c r="E35" s="141" t="s">
        <v>51</v>
      </c>
      <c r="F35" s="143" t="s">
        <v>7</v>
      </c>
      <c r="G35" s="144" t="s">
        <v>52</v>
      </c>
      <c r="H35" s="145"/>
      <c r="I35" s="146" t="s">
        <v>53</v>
      </c>
      <c r="J35" s="145" t="s">
        <v>54</v>
      </c>
      <c r="K35" s="145" t="s">
        <v>55</v>
      </c>
      <c r="L35" s="147" t="s">
        <v>56</v>
      </c>
      <c r="M35" s="147" t="s">
        <v>57</v>
      </c>
      <c r="N35" s="147" t="s">
        <v>58</v>
      </c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2:33" s="158" customFormat="1" x14ac:dyDescent="0.25">
      <c r="B36" s="148">
        <v>1</v>
      </c>
      <c r="C36" s="149"/>
      <c r="D36" s="148">
        <v>1</v>
      </c>
      <c r="E36" s="150">
        <v>41516</v>
      </c>
      <c r="F36" s="151">
        <v>119384.15</v>
      </c>
      <c r="G36" s="152"/>
      <c r="H36" s="152"/>
      <c r="I36" s="153"/>
      <c r="J36" s="154"/>
      <c r="K36" s="155"/>
      <c r="L36" s="156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</row>
    <row r="37" spans="2:33" s="158" customFormat="1" x14ac:dyDescent="0.25">
      <c r="B37" s="148">
        <v>2</v>
      </c>
      <c r="C37" s="149"/>
      <c r="D37" s="148">
        <v>2</v>
      </c>
      <c r="E37" s="150">
        <v>41544</v>
      </c>
      <c r="F37" s="151">
        <v>109553.03</v>
      </c>
      <c r="G37" s="152"/>
      <c r="H37" s="152"/>
      <c r="I37" s="153"/>
      <c r="J37" s="154"/>
      <c r="K37" s="155"/>
      <c r="L37" s="151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</row>
    <row r="38" spans="2:33" s="158" customFormat="1" x14ac:dyDescent="0.25">
      <c r="B38" s="148">
        <v>3</v>
      </c>
      <c r="C38" s="149"/>
      <c r="D38" s="148">
        <v>3</v>
      </c>
      <c r="E38" s="150">
        <v>41607</v>
      </c>
      <c r="F38" s="151">
        <v>617316.68000000005</v>
      </c>
      <c r="G38" s="152"/>
      <c r="H38" s="152"/>
      <c r="I38" s="153"/>
      <c r="J38" s="154"/>
      <c r="K38" s="155"/>
      <c r="L38" s="151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</row>
    <row r="39" spans="2:33" s="158" customFormat="1" x14ac:dyDescent="0.25">
      <c r="B39" s="148">
        <v>4</v>
      </c>
      <c r="C39" s="149"/>
      <c r="D39" s="148">
        <v>4</v>
      </c>
      <c r="E39" s="150">
        <v>41639</v>
      </c>
      <c r="F39" s="151">
        <v>89718.29</v>
      </c>
      <c r="G39" s="152"/>
      <c r="H39" s="152"/>
      <c r="I39" s="153"/>
      <c r="J39" s="154"/>
      <c r="K39" s="155"/>
      <c r="L39" s="151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</row>
    <row r="40" spans="2:33" s="158" customFormat="1" x14ac:dyDescent="0.25">
      <c r="B40" s="148">
        <v>5</v>
      </c>
      <c r="C40" s="149"/>
      <c r="D40" s="148">
        <v>5</v>
      </c>
      <c r="E40" s="150">
        <v>41698</v>
      </c>
      <c r="F40" s="151">
        <v>264346.28000000003</v>
      </c>
      <c r="G40" s="152"/>
      <c r="H40" s="152"/>
      <c r="I40" s="153"/>
      <c r="J40" s="154"/>
      <c r="K40" s="155"/>
      <c r="L40" s="151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</row>
    <row r="41" spans="2:33" s="158" customFormat="1" x14ac:dyDescent="0.25">
      <c r="B41" s="148">
        <v>6</v>
      </c>
      <c r="C41" s="149"/>
      <c r="D41" s="148">
        <v>6</v>
      </c>
      <c r="E41" s="150">
        <v>41726</v>
      </c>
      <c r="F41" s="151">
        <v>98389.89</v>
      </c>
      <c r="G41" s="152"/>
      <c r="H41" s="152"/>
      <c r="I41" s="153"/>
      <c r="J41" s="154"/>
      <c r="K41" s="155"/>
      <c r="L41" s="151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</row>
    <row r="42" spans="2:33" s="158" customFormat="1" x14ac:dyDescent="0.25">
      <c r="B42" s="148">
        <v>7</v>
      </c>
      <c r="C42" s="149"/>
      <c r="D42" s="148">
        <v>7</v>
      </c>
      <c r="E42" s="150">
        <v>41761</v>
      </c>
      <c r="F42" s="151">
        <v>97937.600000000006</v>
      </c>
      <c r="G42" s="152"/>
      <c r="H42" s="152"/>
      <c r="I42" s="153"/>
      <c r="J42" s="154"/>
      <c r="K42" s="155"/>
      <c r="L42" s="151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</row>
    <row r="43" spans="2:33" s="158" customFormat="1" x14ac:dyDescent="0.25">
      <c r="B43" s="148">
        <v>8</v>
      </c>
      <c r="C43" s="149"/>
      <c r="D43" s="148">
        <v>8</v>
      </c>
      <c r="E43" s="150">
        <v>41789</v>
      </c>
      <c r="F43" s="151">
        <v>128354.56</v>
      </c>
      <c r="G43" s="152"/>
      <c r="H43" s="152"/>
      <c r="I43" s="153"/>
      <c r="J43" s="154"/>
      <c r="K43" s="155"/>
      <c r="L43" s="151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</row>
    <row r="44" spans="2:33" s="158" customFormat="1" x14ac:dyDescent="0.25">
      <c r="B44" s="148">
        <v>9</v>
      </c>
      <c r="C44" s="149"/>
      <c r="D44" s="148">
        <v>9</v>
      </c>
      <c r="E44" s="150">
        <v>41817</v>
      </c>
      <c r="F44" s="151">
        <v>42763.93</v>
      </c>
      <c r="G44" s="152"/>
      <c r="H44" s="152"/>
      <c r="I44" s="153"/>
      <c r="J44" s="154"/>
      <c r="K44" s="155"/>
      <c r="L44" s="151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</row>
    <row r="45" spans="2:33" s="158" customFormat="1" x14ac:dyDescent="0.25">
      <c r="B45" s="148">
        <v>10</v>
      </c>
      <c r="C45" s="149"/>
      <c r="D45" s="148">
        <v>10</v>
      </c>
      <c r="E45" s="150">
        <v>41852</v>
      </c>
      <c r="F45" s="151">
        <v>222006.49</v>
      </c>
      <c r="G45" s="152"/>
      <c r="H45" s="152"/>
      <c r="I45" s="153"/>
      <c r="J45" s="154"/>
      <c r="K45" s="155"/>
      <c r="L45" s="151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</row>
    <row r="46" spans="2:33" s="158" customFormat="1" x14ac:dyDescent="0.25">
      <c r="B46" s="148">
        <v>11</v>
      </c>
      <c r="C46" s="149"/>
      <c r="D46" s="148">
        <v>11</v>
      </c>
      <c r="E46" s="150">
        <v>41880</v>
      </c>
      <c r="F46" s="151">
        <v>182583.74</v>
      </c>
      <c r="G46" s="152"/>
      <c r="H46" s="152"/>
      <c r="I46" s="153"/>
      <c r="J46" s="154"/>
      <c r="K46" s="155"/>
      <c r="L46" s="151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</row>
    <row r="47" spans="2:33" s="158" customFormat="1" x14ac:dyDescent="0.25">
      <c r="B47" s="148">
        <v>12</v>
      </c>
      <c r="C47" s="149"/>
      <c r="D47" s="148">
        <v>12</v>
      </c>
      <c r="E47" s="150">
        <v>41908</v>
      </c>
      <c r="F47" s="151">
        <v>99994.8</v>
      </c>
      <c r="G47" s="152"/>
      <c r="H47" s="152"/>
      <c r="I47" s="153"/>
      <c r="J47" s="154"/>
      <c r="K47" s="155"/>
      <c r="L47" s="151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</row>
    <row r="48" spans="2:33" s="158" customFormat="1" x14ac:dyDescent="0.25">
      <c r="B48" s="148">
        <v>13</v>
      </c>
      <c r="C48" s="149"/>
      <c r="D48" s="148">
        <v>13</v>
      </c>
      <c r="E48" s="150">
        <v>41943</v>
      </c>
      <c r="F48" s="151">
        <v>113417.28</v>
      </c>
      <c r="G48" s="152"/>
      <c r="H48" s="152"/>
      <c r="I48" s="153"/>
      <c r="J48" s="154"/>
      <c r="K48" s="155"/>
      <c r="L48" s="151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</row>
    <row r="49" spans="2:31" s="158" customFormat="1" x14ac:dyDescent="0.25">
      <c r="B49" s="148">
        <v>14</v>
      </c>
      <c r="C49" s="149"/>
      <c r="D49" s="148">
        <v>14</v>
      </c>
      <c r="E49" s="150">
        <v>41971</v>
      </c>
      <c r="F49" s="151">
        <v>50247.39</v>
      </c>
      <c r="G49" s="152"/>
      <c r="H49" s="152"/>
      <c r="I49" s="153"/>
      <c r="J49" s="154"/>
      <c r="K49" s="155"/>
      <c r="L49" s="151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</row>
    <row r="50" spans="2:31" s="158" customFormat="1" x14ac:dyDescent="0.25">
      <c r="B50" s="148">
        <v>15</v>
      </c>
      <c r="C50" s="149"/>
      <c r="D50" s="148">
        <v>15</v>
      </c>
      <c r="E50" s="150">
        <v>42006</v>
      </c>
      <c r="F50" s="151">
        <v>26362</v>
      </c>
      <c r="G50" s="152"/>
      <c r="H50" s="152"/>
      <c r="I50" s="153"/>
      <c r="J50" s="154"/>
      <c r="K50" s="155"/>
      <c r="L50" s="151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</row>
    <row r="51" spans="2:31" s="158" customFormat="1" x14ac:dyDescent="0.25">
      <c r="B51" s="148">
        <v>16</v>
      </c>
      <c r="C51" s="149"/>
      <c r="D51" s="148">
        <v>16</v>
      </c>
      <c r="E51" s="150">
        <v>42041</v>
      </c>
      <c r="F51" s="151">
        <v>47969.34</v>
      </c>
      <c r="G51" s="152"/>
      <c r="H51" s="152"/>
      <c r="I51" s="153"/>
      <c r="J51" s="154"/>
      <c r="K51" s="155"/>
      <c r="L51" s="151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</row>
    <row r="52" spans="2:31" s="158" customFormat="1" x14ac:dyDescent="0.25">
      <c r="B52" s="148">
        <v>17</v>
      </c>
      <c r="C52" s="149"/>
      <c r="D52" s="148">
        <v>17</v>
      </c>
      <c r="E52" s="150">
        <v>42079</v>
      </c>
      <c r="F52" s="151">
        <v>59526</v>
      </c>
      <c r="G52" s="152"/>
      <c r="H52" s="152"/>
      <c r="I52" s="153"/>
      <c r="J52" s="154"/>
      <c r="K52" s="155"/>
      <c r="L52" s="151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</row>
    <row r="53" spans="2:31" s="158" customFormat="1" x14ac:dyDescent="0.25">
      <c r="B53" s="148">
        <v>18</v>
      </c>
      <c r="C53" s="149"/>
      <c r="D53" s="148">
        <v>18</v>
      </c>
      <c r="E53" s="150">
        <v>42097</v>
      </c>
      <c r="F53" s="151">
        <v>21996.25</v>
      </c>
      <c r="G53" s="152"/>
      <c r="H53" s="152"/>
      <c r="I53" s="153"/>
      <c r="J53" s="154"/>
      <c r="K53" s="155"/>
      <c r="L53" s="151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</row>
    <row r="54" spans="2:31" s="158" customFormat="1" x14ac:dyDescent="0.25">
      <c r="B54" s="148">
        <v>19</v>
      </c>
      <c r="C54" s="149"/>
      <c r="D54" s="148">
        <v>19</v>
      </c>
      <c r="E54" s="150">
        <v>42132</v>
      </c>
      <c r="F54" s="151">
        <v>38135.25</v>
      </c>
      <c r="G54" s="152"/>
      <c r="H54" s="152"/>
      <c r="I54" s="153"/>
      <c r="J54" s="154"/>
      <c r="K54" s="155"/>
      <c r="L54" s="151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</row>
    <row r="55" spans="2:31" s="158" customFormat="1" x14ac:dyDescent="0.25">
      <c r="B55" s="148">
        <v>20</v>
      </c>
      <c r="C55" s="149"/>
      <c r="D55" s="148">
        <v>20</v>
      </c>
      <c r="E55" s="150">
        <v>42161</v>
      </c>
      <c r="F55" s="151">
        <v>26109.21</v>
      </c>
      <c r="G55" s="152"/>
      <c r="H55" s="152"/>
      <c r="I55" s="153"/>
      <c r="J55" s="154"/>
      <c r="K55" s="155"/>
      <c r="L55" s="151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</row>
    <row r="56" spans="2:31" s="158" customFormat="1" x14ac:dyDescent="0.25">
      <c r="B56" s="148">
        <v>21</v>
      </c>
      <c r="C56" s="149"/>
      <c r="D56" s="148">
        <v>21</v>
      </c>
      <c r="E56" s="150">
        <v>42188</v>
      </c>
      <c r="F56" s="151">
        <v>21552.75</v>
      </c>
      <c r="G56" s="152"/>
      <c r="H56" s="152"/>
      <c r="I56" s="153"/>
      <c r="J56" s="154"/>
      <c r="K56" s="155"/>
      <c r="L56" s="151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</row>
    <row r="57" spans="2:31" s="158" customFormat="1" x14ac:dyDescent="0.25">
      <c r="B57" s="148">
        <v>22</v>
      </c>
      <c r="C57" s="149"/>
      <c r="D57" s="148">
        <v>22</v>
      </c>
      <c r="E57" s="150">
        <v>42223</v>
      </c>
      <c r="F57" s="151">
        <v>57301.75</v>
      </c>
      <c r="G57" s="152"/>
      <c r="H57" s="152"/>
      <c r="I57" s="153"/>
      <c r="J57" s="154"/>
      <c r="K57" s="155"/>
      <c r="L57" s="151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</row>
    <row r="58" spans="2:31" s="158" customFormat="1" x14ac:dyDescent="0.25">
      <c r="B58" s="148">
        <v>23</v>
      </c>
      <c r="C58" s="149"/>
      <c r="D58" s="148">
        <v>23</v>
      </c>
      <c r="E58" s="150">
        <v>42251</v>
      </c>
      <c r="F58" s="151">
        <v>48827.75</v>
      </c>
      <c r="G58" s="152"/>
      <c r="H58" s="152"/>
      <c r="I58" s="153"/>
      <c r="J58" s="154"/>
      <c r="K58" s="155"/>
      <c r="L58" s="151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</row>
    <row r="59" spans="2:31" s="158" customFormat="1" x14ac:dyDescent="0.25">
      <c r="B59" s="148">
        <v>24</v>
      </c>
      <c r="C59" s="149"/>
      <c r="D59" s="148">
        <v>26</v>
      </c>
      <c r="E59" s="150">
        <v>42279</v>
      </c>
      <c r="F59" s="151">
        <v>39947</v>
      </c>
      <c r="G59" s="152"/>
      <c r="H59" s="152"/>
      <c r="I59" s="153"/>
      <c r="J59" s="154"/>
      <c r="K59" s="155"/>
      <c r="L59" s="151"/>
      <c r="M59" s="157"/>
      <c r="O59" s="157"/>
      <c r="P59" s="157"/>
      <c r="Q59" s="157"/>
      <c r="R59" s="157"/>
      <c r="S59" s="157"/>
    </row>
    <row r="60" spans="2:31" s="158" customFormat="1" x14ac:dyDescent="0.25">
      <c r="B60" s="148">
        <v>25</v>
      </c>
      <c r="C60" s="150"/>
      <c r="D60" s="148">
        <v>27</v>
      </c>
      <c r="E60" s="150">
        <v>42314</v>
      </c>
      <c r="F60" s="151">
        <v>20394.5</v>
      </c>
      <c r="G60" s="148"/>
      <c r="H60" s="148"/>
      <c r="J60" s="159"/>
      <c r="K60" s="148"/>
      <c r="L60" s="151"/>
    </row>
    <row r="61" spans="2:31" s="158" customFormat="1" x14ac:dyDescent="0.25">
      <c r="B61" s="148">
        <v>26</v>
      </c>
      <c r="C61" s="150"/>
      <c r="D61" s="148">
        <v>28</v>
      </c>
      <c r="E61" s="150">
        <v>42370</v>
      </c>
      <c r="F61" s="151">
        <v>24501.79</v>
      </c>
      <c r="G61" s="148"/>
      <c r="H61" s="148"/>
      <c r="J61" s="159"/>
      <c r="K61" s="148"/>
      <c r="L61" s="151"/>
    </row>
    <row r="62" spans="2:31" s="158" customFormat="1" x14ac:dyDescent="0.25">
      <c r="B62" s="148">
        <v>27</v>
      </c>
      <c r="C62" s="150"/>
      <c r="D62" s="148">
        <v>30</v>
      </c>
      <c r="E62" s="150">
        <v>42433</v>
      </c>
      <c r="F62" s="151">
        <v>13580</v>
      </c>
      <c r="G62" s="148"/>
      <c r="H62" s="148"/>
      <c r="J62" s="159"/>
      <c r="K62" s="148"/>
      <c r="L62" s="151"/>
    </row>
    <row r="63" spans="2:31" s="158" customFormat="1" x14ac:dyDescent="0.25">
      <c r="B63" s="148">
        <v>28</v>
      </c>
      <c r="C63" s="150"/>
      <c r="D63" s="148">
        <v>31</v>
      </c>
      <c r="E63" s="150">
        <v>42461</v>
      </c>
      <c r="F63" s="151">
        <v>6066.75</v>
      </c>
      <c r="G63" s="148"/>
      <c r="H63" s="148"/>
      <c r="J63" s="160"/>
      <c r="K63" s="148"/>
      <c r="L63" s="151"/>
    </row>
    <row r="64" spans="2:31" s="158" customFormat="1" x14ac:dyDescent="0.25">
      <c r="B64" s="148">
        <v>29</v>
      </c>
      <c r="C64" s="150"/>
      <c r="D64" s="148">
        <v>32</v>
      </c>
      <c r="E64" s="150">
        <v>42524</v>
      </c>
      <c r="F64" s="151">
        <v>4940.75</v>
      </c>
      <c r="G64" s="148"/>
      <c r="H64" s="148"/>
      <c r="I64" s="161"/>
      <c r="J64" s="160"/>
      <c r="K64" s="148"/>
      <c r="L64" s="151"/>
    </row>
    <row r="65" spans="2:31" s="158" customFormat="1" x14ac:dyDescent="0.25">
      <c r="B65" s="148">
        <v>30</v>
      </c>
      <c r="C65" s="150"/>
      <c r="D65" s="148">
        <v>33</v>
      </c>
      <c r="E65" s="150">
        <v>42551</v>
      </c>
      <c r="F65" s="151">
        <v>15375.25</v>
      </c>
      <c r="G65" s="148"/>
      <c r="H65" s="148"/>
      <c r="J65" s="160"/>
      <c r="K65" s="148"/>
      <c r="L65" s="151"/>
    </row>
    <row r="66" spans="2:31" s="158" customFormat="1" x14ac:dyDescent="0.25">
      <c r="B66" s="148">
        <v>31</v>
      </c>
      <c r="C66" s="150"/>
      <c r="D66" s="148">
        <v>34</v>
      </c>
      <c r="E66" s="150">
        <v>42587</v>
      </c>
      <c r="F66" s="151">
        <v>9351.5</v>
      </c>
      <c r="G66" s="148"/>
      <c r="H66" s="148"/>
      <c r="I66" s="161"/>
      <c r="J66" s="160"/>
      <c r="K66" s="148"/>
      <c r="L66" s="151"/>
    </row>
    <row r="67" spans="2:31" s="158" customFormat="1" x14ac:dyDescent="0.25">
      <c r="B67" s="148">
        <v>32</v>
      </c>
      <c r="C67" s="150"/>
      <c r="D67" s="148">
        <v>35</v>
      </c>
      <c r="E67" s="150">
        <v>42615</v>
      </c>
      <c r="F67" s="151">
        <v>1726.5</v>
      </c>
      <c r="G67" s="148"/>
      <c r="H67" s="148"/>
      <c r="J67" s="160"/>
      <c r="K67" s="148"/>
      <c r="L67" s="151"/>
    </row>
    <row r="68" spans="2:31" s="158" customFormat="1" x14ac:dyDescent="0.25">
      <c r="B68" s="148">
        <v>33</v>
      </c>
      <c r="C68" s="150"/>
      <c r="D68" s="148">
        <v>36</v>
      </c>
      <c r="E68" s="150">
        <v>42643</v>
      </c>
      <c r="F68" s="151">
        <v>4010.75</v>
      </c>
      <c r="G68" s="148"/>
      <c r="H68" s="148"/>
      <c r="J68" s="160"/>
      <c r="K68" s="148"/>
      <c r="L68" s="151"/>
    </row>
    <row r="69" spans="2:31" s="158" customFormat="1" x14ac:dyDescent="0.25">
      <c r="B69" s="148">
        <v>34</v>
      </c>
      <c r="C69" s="150"/>
      <c r="D69" s="148">
        <v>37</v>
      </c>
      <c r="E69" s="150">
        <v>42674</v>
      </c>
      <c r="F69" s="151">
        <v>4548.41</v>
      </c>
      <c r="G69" s="148"/>
      <c r="H69" s="148"/>
      <c r="J69" s="160"/>
      <c r="K69" s="148"/>
      <c r="L69" s="151"/>
    </row>
    <row r="70" spans="2:31" x14ac:dyDescent="0.25">
      <c r="E70" s="162"/>
      <c r="J70" s="163"/>
      <c r="L70" s="5"/>
    </row>
    <row r="71" spans="2:31" x14ac:dyDescent="0.25">
      <c r="E71" s="162"/>
      <c r="J71" s="163"/>
      <c r="L71" s="5"/>
    </row>
    <row r="72" spans="2:31" x14ac:dyDescent="0.25">
      <c r="E72" s="162"/>
      <c r="J72" s="163"/>
      <c r="L72" s="5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</row>
    <row r="73" spans="2:31" x14ac:dyDescent="0.25">
      <c r="B73" s="165"/>
      <c r="C73" s="166"/>
      <c r="D73" s="165"/>
      <c r="E73" s="166"/>
      <c r="F73" s="167"/>
      <c r="G73" s="165"/>
      <c r="H73" s="165"/>
      <c r="J73" s="168"/>
      <c r="L73" s="5"/>
      <c r="M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</row>
    <row r="74" spans="2:31" x14ac:dyDescent="0.25">
      <c r="D74" s="165"/>
      <c r="E74" s="166"/>
      <c r="F74" s="167"/>
      <c r="J74" s="168"/>
      <c r="L74" s="5"/>
      <c r="M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</row>
    <row r="75" spans="2:31" x14ac:dyDescent="0.25">
      <c r="D75" s="165"/>
      <c r="E75" s="166"/>
      <c r="F75" s="167"/>
      <c r="J75" s="168"/>
      <c r="L75" s="5"/>
      <c r="M75" s="164"/>
      <c r="O75" s="164"/>
      <c r="P75" s="164"/>
      <c r="Q75" s="164"/>
      <c r="R75" s="164"/>
      <c r="S75" s="164"/>
    </row>
    <row r="76" spans="2:31" x14ac:dyDescent="0.25">
      <c r="E76" s="162"/>
      <c r="J76" s="163"/>
      <c r="L76" s="5"/>
    </row>
    <row r="77" spans="2:31" x14ac:dyDescent="0.25">
      <c r="E77" s="162"/>
      <c r="J77" s="163"/>
      <c r="L77" s="5"/>
    </row>
    <row r="78" spans="2:31" x14ac:dyDescent="0.25">
      <c r="E78" s="162"/>
      <c r="J78" s="163"/>
      <c r="L78" s="5"/>
    </row>
    <row r="79" spans="2:31" x14ac:dyDescent="0.25">
      <c r="E79" s="162"/>
      <c r="J79" s="163"/>
      <c r="L79" s="5"/>
    </row>
    <row r="80" spans="2:31" x14ac:dyDescent="0.25">
      <c r="E80" s="162"/>
      <c r="J80" s="163"/>
      <c r="L80" s="5"/>
    </row>
    <row r="81" spans="5:5" x14ac:dyDescent="0.25">
      <c r="E81" s="162"/>
    </row>
    <row r="82" spans="5:5" x14ac:dyDescent="0.25">
      <c r="E82" s="162"/>
    </row>
    <row r="83" spans="5:5" x14ac:dyDescent="0.25">
      <c r="E83" s="162"/>
    </row>
    <row r="84" spans="5:5" x14ac:dyDescent="0.25">
      <c r="E84" s="162"/>
    </row>
    <row r="85" spans="5:5" x14ac:dyDescent="0.25">
      <c r="E85" s="162"/>
    </row>
    <row r="86" spans="5:5" x14ac:dyDescent="0.25">
      <c r="E86" s="162"/>
    </row>
    <row r="87" spans="5:5" x14ac:dyDescent="0.25">
      <c r="E87" s="162"/>
    </row>
    <row r="88" spans="5:5" x14ac:dyDescent="0.25">
      <c r="E88" s="162"/>
    </row>
    <row r="89" spans="5:5" x14ac:dyDescent="0.25">
      <c r="E89" s="162"/>
    </row>
    <row r="90" spans="5:5" x14ac:dyDescent="0.25">
      <c r="E90" s="162"/>
    </row>
    <row r="91" spans="5:5" x14ac:dyDescent="0.25">
      <c r="E91" s="162"/>
    </row>
    <row r="92" spans="5:5" x14ac:dyDescent="0.25">
      <c r="E92" s="162"/>
    </row>
    <row r="93" spans="5:5" x14ac:dyDescent="0.25">
      <c r="E93" s="162"/>
    </row>
    <row r="94" spans="5:5" x14ac:dyDescent="0.25">
      <c r="E94" s="162"/>
    </row>
    <row r="95" spans="5:5" x14ac:dyDescent="0.25">
      <c r="E95" s="162"/>
    </row>
    <row r="96" spans="5:5" x14ac:dyDescent="0.25">
      <c r="E96" s="162"/>
    </row>
    <row r="97" spans="5:5" x14ac:dyDescent="0.25">
      <c r="E97" s="162"/>
    </row>
    <row r="98" spans="5:5" x14ac:dyDescent="0.25">
      <c r="E98" s="162"/>
    </row>
    <row r="99" spans="5:5" x14ac:dyDescent="0.25">
      <c r="E99" s="162"/>
    </row>
    <row r="100" spans="5:5" x14ac:dyDescent="0.25">
      <c r="E100" s="162"/>
    </row>
    <row r="101" spans="5:5" x14ac:dyDescent="0.25">
      <c r="E101" s="162"/>
    </row>
    <row r="102" spans="5:5" x14ac:dyDescent="0.25">
      <c r="E102" s="162"/>
    </row>
    <row r="103" spans="5:5" x14ac:dyDescent="0.25">
      <c r="E103" s="162"/>
    </row>
    <row r="104" spans="5:5" x14ac:dyDescent="0.25">
      <c r="E104" s="162"/>
    </row>
    <row r="105" spans="5:5" x14ac:dyDescent="0.25">
      <c r="E105" s="162"/>
    </row>
    <row r="106" spans="5:5" x14ac:dyDescent="0.25">
      <c r="E106" s="162"/>
    </row>
    <row r="107" spans="5:5" x14ac:dyDescent="0.25">
      <c r="E107" s="162"/>
    </row>
    <row r="108" spans="5:5" x14ac:dyDescent="0.25">
      <c r="E108" s="162"/>
    </row>
    <row r="109" spans="5:5" x14ac:dyDescent="0.25">
      <c r="E109" s="162"/>
    </row>
    <row r="110" spans="5:5" x14ac:dyDescent="0.25">
      <c r="E110" s="162"/>
    </row>
    <row r="111" spans="5:5" x14ac:dyDescent="0.25">
      <c r="E111" s="162"/>
    </row>
    <row r="112" spans="5:5" x14ac:dyDescent="0.25">
      <c r="E112" s="162"/>
    </row>
    <row r="113" spans="5:5" x14ac:dyDescent="0.25">
      <c r="E113" s="162"/>
    </row>
    <row r="114" spans="5:5" x14ac:dyDescent="0.25">
      <c r="E114" s="162"/>
    </row>
    <row r="115" spans="5:5" x14ac:dyDescent="0.25">
      <c r="E115" s="162"/>
    </row>
    <row r="116" spans="5:5" x14ac:dyDescent="0.25">
      <c r="E116" s="162"/>
    </row>
    <row r="117" spans="5:5" x14ac:dyDescent="0.25">
      <c r="E117" s="162"/>
    </row>
    <row r="118" spans="5:5" x14ac:dyDescent="0.25">
      <c r="E118" s="162"/>
    </row>
    <row r="119" spans="5:5" x14ac:dyDescent="0.25">
      <c r="E119" s="162"/>
    </row>
    <row r="120" spans="5:5" x14ac:dyDescent="0.25">
      <c r="E120" s="162"/>
    </row>
    <row r="121" spans="5:5" x14ac:dyDescent="0.25">
      <c r="E121" s="162"/>
    </row>
    <row r="122" spans="5:5" x14ac:dyDescent="0.25">
      <c r="E122" s="162"/>
    </row>
    <row r="123" spans="5:5" x14ac:dyDescent="0.25">
      <c r="E123" s="162"/>
    </row>
    <row r="124" spans="5:5" x14ac:dyDescent="0.25">
      <c r="E124" s="162"/>
    </row>
    <row r="125" spans="5:5" x14ac:dyDescent="0.25">
      <c r="E125" s="162"/>
    </row>
    <row r="126" spans="5:5" x14ac:dyDescent="0.25">
      <c r="E126" s="162"/>
    </row>
    <row r="127" spans="5:5" x14ac:dyDescent="0.25">
      <c r="E127" s="162"/>
    </row>
    <row r="128" spans="5:5" x14ac:dyDescent="0.25">
      <c r="E128" s="162"/>
    </row>
    <row r="129" spans="5:5" x14ac:dyDescent="0.25">
      <c r="E129" s="162"/>
    </row>
    <row r="130" spans="5:5" x14ac:dyDescent="0.25">
      <c r="E130" s="162"/>
    </row>
    <row r="131" spans="5:5" x14ac:dyDescent="0.25">
      <c r="E131" s="162"/>
    </row>
    <row r="132" spans="5:5" x14ac:dyDescent="0.25">
      <c r="E132" s="162"/>
    </row>
    <row r="133" spans="5:5" x14ac:dyDescent="0.25">
      <c r="E133" s="162"/>
    </row>
    <row r="134" spans="5:5" x14ac:dyDescent="0.25">
      <c r="E134" s="162"/>
    </row>
    <row r="135" spans="5:5" x14ac:dyDescent="0.25">
      <c r="E135" s="162"/>
    </row>
    <row r="136" spans="5:5" x14ac:dyDescent="0.25">
      <c r="E136" s="162"/>
    </row>
    <row r="137" spans="5:5" x14ac:dyDescent="0.25">
      <c r="E137" s="162"/>
    </row>
    <row r="138" spans="5:5" x14ac:dyDescent="0.25">
      <c r="E138" s="162"/>
    </row>
    <row r="139" spans="5:5" x14ac:dyDescent="0.25">
      <c r="E139" s="162"/>
    </row>
    <row r="140" spans="5:5" x14ac:dyDescent="0.25">
      <c r="E140" s="162"/>
    </row>
    <row r="141" spans="5:5" x14ac:dyDescent="0.25">
      <c r="E141" s="162"/>
    </row>
    <row r="142" spans="5:5" x14ac:dyDescent="0.25">
      <c r="E142" s="162"/>
    </row>
    <row r="143" spans="5:5" x14ac:dyDescent="0.25">
      <c r="E143" s="162"/>
    </row>
    <row r="144" spans="5:5" x14ac:dyDescent="0.25">
      <c r="E144" s="162"/>
    </row>
    <row r="145" spans="5:5" x14ac:dyDescent="0.25">
      <c r="E145" s="162"/>
    </row>
    <row r="146" spans="5:5" x14ac:dyDescent="0.25">
      <c r="E146" s="162"/>
    </row>
    <row r="147" spans="5:5" x14ac:dyDescent="0.25">
      <c r="E147" s="162"/>
    </row>
    <row r="148" spans="5:5" x14ac:dyDescent="0.25">
      <c r="E148" s="162"/>
    </row>
    <row r="149" spans="5:5" x14ac:dyDescent="0.25">
      <c r="E149" s="162"/>
    </row>
    <row r="150" spans="5:5" x14ac:dyDescent="0.25">
      <c r="E150" s="162"/>
    </row>
    <row r="151" spans="5:5" x14ac:dyDescent="0.25">
      <c r="E151" s="162"/>
    </row>
    <row r="152" spans="5:5" x14ac:dyDescent="0.25">
      <c r="E152" s="162"/>
    </row>
    <row r="153" spans="5:5" x14ac:dyDescent="0.25">
      <c r="E153" s="162"/>
    </row>
    <row r="154" spans="5:5" x14ac:dyDescent="0.25">
      <c r="E154" s="162"/>
    </row>
    <row r="155" spans="5:5" x14ac:dyDescent="0.25">
      <c r="E155" s="162"/>
    </row>
    <row r="156" spans="5:5" x14ac:dyDescent="0.25">
      <c r="E156" s="162"/>
    </row>
    <row r="157" spans="5:5" x14ac:dyDescent="0.25">
      <c r="E157" s="162"/>
    </row>
    <row r="158" spans="5:5" x14ac:dyDescent="0.25">
      <c r="E158" s="162"/>
    </row>
    <row r="159" spans="5:5" x14ac:dyDescent="0.25">
      <c r="E159" s="162"/>
    </row>
    <row r="160" spans="5:5" x14ac:dyDescent="0.25">
      <c r="E160" s="162"/>
    </row>
    <row r="161" spans="5:6" x14ac:dyDescent="0.25">
      <c r="E161" s="162"/>
    </row>
    <row r="162" spans="5:6" x14ac:dyDescent="0.25">
      <c r="E162" s="162"/>
    </row>
    <row r="163" spans="5:6" x14ac:dyDescent="0.25">
      <c r="E163" s="162"/>
    </row>
    <row r="164" spans="5:6" x14ac:dyDescent="0.25">
      <c r="E164" s="162"/>
    </row>
    <row r="165" spans="5:6" x14ac:dyDescent="0.25">
      <c r="E165" s="162"/>
    </row>
    <row r="167" spans="5:6" x14ac:dyDescent="0.25">
      <c r="F167"/>
    </row>
  </sheetData>
  <pageMargins left="0.45" right="0.45" top="0.5" bottom="0.5" header="0.3" footer="0.3"/>
  <pageSetup paperSize="17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Menu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2017-11-14T19:38:39Z</dcterms:modified>
</cp:coreProperties>
</file>